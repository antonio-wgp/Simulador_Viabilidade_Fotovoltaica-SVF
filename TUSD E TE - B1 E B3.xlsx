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nton\PycharmProjects\pythonProject1\"/>
    </mc:Choice>
  </mc:AlternateContent>
  <xr:revisionPtr revIDLastSave="0" documentId="13_ncr:1_{1C3A520C-6A85-450A-BD0A-92DAF14277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5" i="1"/>
  <c r="M7" i="1"/>
  <c r="M9" i="1"/>
  <c r="M11" i="1"/>
  <c r="M13" i="1"/>
  <c r="M15" i="1"/>
  <c r="M17" i="1"/>
  <c r="M19" i="1"/>
  <c r="M21" i="1"/>
  <c r="M23" i="1"/>
  <c r="M25" i="1"/>
  <c r="M27" i="1"/>
  <c r="M29" i="1"/>
  <c r="M31" i="1"/>
  <c r="M33" i="1"/>
  <c r="M35" i="1"/>
  <c r="M37" i="1"/>
  <c r="M39" i="1"/>
  <c r="M41" i="1"/>
  <c r="M43" i="1"/>
  <c r="M45" i="1"/>
  <c r="M47" i="1"/>
  <c r="M49" i="1"/>
  <c r="M51" i="1"/>
  <c r="M53" i="1"/>
  <c r="M55" i="1"/>
  <c r="M57" i="1"/>
  <c r="M59" i="1"/>
  <c r="M61" i="1"/>
  <c r="M63" i="1"/>
  <c r="M65" i="1"/>
  <c r="M67" i="1"/>
  <c r="M69" i="1"/>
  <c r="M71" i="1"/>
  <c r="M73" i="1"/>
  <c r="M75" i="1"/>
  <c r="M77" i="1"/>
  <c r="M79" i="1"/>
  <c r="M81" i="1"/>
  <c r="M83" i="1"/>
  <c r="M85" i="1"/>
  <c r="M87" i="1"/>
  <c r="M89" i="1"/>
  <c r="M91" i="1"/>
  <c r="M93" i="1"/>
  <c r="M95" i="1"/>
  <c r="M97" i="1"/>
  <c r="M99" i="1"/>
  <c r="M101" i="1"/>
  <c r="M103" i="1"/>
  <c r="M105" i="1"/>
  <c r="M107" i="1"/>
  <c r="L3" i="1"/>
  <c r="L5" i="1"/>
  <c r="L7" i="1"/>
  <c r="L9" i="1"/>
  <c r="L11" i="1"/>
  <c r="L13" i="1"/>
  <c r="L15" i="1"/>
  <c r="L17" i="1"/>
  <c r="L19" i="1"/>
  <c r="L21" i="1"/>
  <c r="L23" i="1"/>
  <c r="L25" i="1"/>
  <c r="L27" i="1"/>
  <c r="L29" i="1"/>
  <c r="L31" i="1"/>
  <c r="L33" i="1"/>
  <c r="L35" i="1"/>
  <c r="L37" i="1"/>
  <c r="L39" i="1"/>
  <c r="L41" i="1"/>
  <c r="L43" i="1"/>
  <c r="L45" i="1"/>
  <c r="L47" i="1"/>
  <c r="L49" i="1"/>
  <c r="L51" i="1"/>
  <c r="L53" i="1"/>
  <c r="L55" i="1"/>
  <c r="L57" i="1"/>
  <c r="L59" i="1"/>
  <c r="L61" i="1"/>
  <c r="L63" i="1"/>
  <c r="L65" i="1"/>
  <c r="L67" i="1"/>
  <c r="L69" i="1"/>
  <c r="L71" i="1"/>
  <c r="L73" i="1"/>
  <c r="L75" i="1"/>
  <c r="L77" i="1"/>
  <c r="L79" i="1"/>
  <c r="L81" i="1"/>
  <c r="L83" i="1"/>
  <c r="L85" i="1"/>
  <c r="L87" i="1"/>
  <c r="L89" i="1"/>
  <c r="L91" i="1"/>
  <c r="L93" i="1"/>
  <c r="L95" i="1"/>
  <c r="L97" i="1"/>
  <c r="L99" i="1"/>
  <c r="L101" i="1"/>
  <c r="L103" i="1"/>
  <c r="L105" i="1"/>
  <c r="L107" i="1"/>
  <c r="N101" i="1" l="1"/>
  <c r="N95" i="1"/>
  <c r="N91" i="1"/>
  <c r="N81" i="1"/>
  <c r="N73" i="1"/>
  <c r="N67" i="1"/>
  <c r="N55" i="1"/>
  <c r="N49" i="1"/>
  <c r="N33" i="1"/>
  <c r="N21" i="1"/>
  <c r="N99" i="1"/>
  <c r="N85" i="1"/>
  <c r="N65" i="1"/>
  <c r="N25" i="1"/>
  <c r="N105" i="1"/>
  <c r="N71" i="1"/>
  <c r="N37" i="1"/>
  <c r="N11" i="1"/>
  <c r="N5" i="1"/>
  <c r="N79" i="1"/>
  <c r="N59" i="1"/>
  <c r="N43" i="1"/>
  <c r="N31" i="1"/>
  <c r="N107" i="1"/>
  <c r="N89" i="1"/>
  <c r="N77" i="1"/>
  <c r="N63" i="1"/>
  <c r="N53" i="1"/>
  <c r="N41" i="1"/>
  <c r="N19" i="1"/>
  <c r="N13" i="1"/>
  <c r="N97" i="1"/>
  <c r="N87" i="1"/>
  <c r="N75" i="1"/>
  <c r="N61" i="1"/>
  <c r="N57" i="1"/>
  <c r="N51" i="1"/>
  <c r="N45" i="1"/>
  <c r="N39" i="1"/>
  <c r="N35" i="1"/>
  <c r="N27" i="1"/>
  <c r="N23" i="1"/>
  <c r="N17" i="1"/>
  <c r="N9" i="1"/>
  <c r="N103" i="1"/>
  <c r="N93" i="1"/>
  <c r="N83" i="1"/>
  <c r="N69" i="1"/>
  <c r="N47" i="1"/>
  <c r="N29" i="1"/>
  <c r="N7" i="1"/>
  <c r="N15" i="1"/>
  <c r="N3" i="1"/>
</calcChain>
</file>

<file path=xl/sharedStrings.xml><?xml version="1.0" encoding="utf-8"?>
<sst xmlns="http://schemas.openxmlformats.org/spreadsheetml/2006/main" count="386" uniqueCount="125">
  <si>
    <t>Resolução ANEEL</t>
  </si>
  <si>
    <t>Início Vigência</t>
  </si>
  <si>
    <t>Fim Vigência</t>
  </si>
  <si>
    <t>Base Tarifária</t>
  </si>
  <si>
    <t>Subgrupo</t>
  </si>
  <si>
    <t>Classe</t>
  </si>
  <si>
    <t>Subclasse</t>
  </si>
  <si>
    <t>Unidade</t>
  </si>
  <si>
    <t>TE</t>
  </si>
  <si>
    <t>Amazonas Energia</t>
  </si>
  <si>
    <t>REH Nº 3.132, DE 1 DE NOVEMBRO DE 2022</t>
  </si>
  <si>
    <t>Tarifa de Aplicação</t>
  </si>
  <si>
    <t>Não se aplica</t>
  </si>
  <si>
    <t>B3</t>
  </si>
  <si>
    <t>CEA Equatorial</t>
  </si>
  <si>
    <t>REH Nº 3.163, DE 13 DE DEZEMBRO DE 2022</t>
  </si>
  <si>
    <t>CEEE Equatorial</t>
  </si>
  <si>
    <t>REH Nº 3.138, DE 16 DE NOVEMBRO DE 2022</t>
  </si>
  <si>
    <t>REH Nº 3.094, DE 16 DE AGOSTO DE 2022</t>
  </si>
  <si>
    <t>Cemig-D</t>
  </si>
  <si>
    <t>REH Nº 3.046, DE 21 DE JUNHO DE 2022</t>
  </si>
  <si>
    <t>Chesp</t>
  </si>
  <si>
    <t>REH Nº 3.137, DE 16 DE NOVEMBRO DE 2022</t>
  </si>
  <si>
    <t>Cocel</t>
  </si>
  <si>
    <t>REH Nº 3.052, DE 28 DE JUNHO DE 2022</t>
  </si>
  <si>
    <t>Cooperaliança</t>
  </si>
  <si>
    <t>REH Nº 3.099, DE 23 DE AGOSTO DE 2022</t>
  </si>
  <si>
    <t>Copel-DIS</t>
  </si>
  <si>
    <t>REH Nº 3.049, DE 21 DE JUNHO DE 2022</t>
  </si>
  <si>
    <t>CPFL Paulista</t>
  </si>
  <si>
    <t>REH Nº 3.058, DE 12 DE JULHO DE 2022</t>
  </si>
  <si>
    <t>CPFL Piratininga</t>
  </si>
  <si>
    <t>REH Nº 3.128, DE 18 DE OUTUBRO DE 2022</t>
  </si>
  <si>
    <t>CPFL Santa Cruz</t>
  </si>
  <si>
    <t>REH Nº 3.059, DE 12 DE JULHO DE 2022</t>
  </si>
  <si>
    <t>Dcelt</t>
  </si>
  <si>
    <t>REH Nº 3.097, DE 23 DE AGOSTO DE 2022</t>
  </si>
  <si>
    <t>Demei</t>
  </si>
  <si>
    <t>REH Nº 3.069, DE 19 DE JULHO DE 2022</t>
  </si>
  <si>
    <t>DMED</t>
  </si>
  <si>
    <t>REH Nº 3.136, DE 16 DE NOVEMBRO DE 2022</t>
  </si>
  <si>
    <t>EDP ES</t>
  </si>
  <si>
    <t>REH Nº 3.091, DE 2 DE AGOSTO DE 2022</t>
  </si>
  <si>
    <t>EDP SP</t>
  </si>
  <si>
    <t>REH Nº 3.129, DE 18 DE OUTUBRO DE 2022</t>
  </si>
  <si>
    <t>EFLJC</t>
  </si>
  <si>
    <t>REH Nº 3.103, DE 23 DE AGOSTO DE 2022</t>
  </si>
  <si>
    <t>Eflul</t>
  </si>
  <si>
    <t>REH Nº 3.098, DE 23 DE AGOSTO DE 2022</t>
  </si>
  <si>
    <t>Eletrocar</t>
  </si>
  <si>
    <t>REH Nº 3.070, DE 19 DE JULHO DE 2022</t>
  </si>
  <si>
    <t>ELFSM</t>
  </si>
  <si>
    <t>REH Nº 3.105, DE 20 DE SETEMBRO DE 2022</t>
  </si>
  <si>
    <t>Enel CE</t>
  </si>
  <si>
    <t>REH Nº 3.061, DE 12 DE JULHO DE 2022</t>
  </si>
  <si>
    <t>Enel GO</t>
  </si>
  <si>
    <t>REH Nº 3.130, DE 18 DE OUTUBRO DE 2022</t>
  </si>
  <si>
    <t>Enel RJ</t>
  </si>
  <si>
    <t>REH Nº 3.064, DE 12 DE JULHO DE 2022</t>
  </si>
  <si>
    <t>Enel SP</t>
  </si>
  <si>
    <t>REH Nº 3.053, DE 28 DE JUNHO DE 2022</t>
  </si>
  <si>
    <t>Energisa AC</t>
  </si>
  <si>
    <t>REH Nº 3.151, DE 13 DE DEZEMBRO DE 2022</t>
  </si>
  <si>
    <t>Energisa Borborema</t>
  </si>
  <si>
    <t>REH Nº 3.060, DE 12 DE JULHO DE 2022</t>
  </si>
  <si>
    <t>Energisa MG</t>
  </si>
  <si>
    <t>REH Nº 3.047, DE 21 DE JUNHO DE 2022</t>
  </si>
  <si>
    <t>Energisa MS</t>
  </si>
  <si>
    <t>REH Nº 3.074, DE 26 DE JULHO DE 2022</t>
  </si>
  <si>
    <t>Energisa MT</t>
  </si>
  <si>
    <t>REH Nº 3.075, DE 26 DE JULHO DE 2022</t>
  </si>
  <si>
    <t>Energisa Nova Friburgo</t>
  </si>
  <si>
    <t>REH Nº 3.048, DE 21 DE JUNHO DE 2022</t>
  </si>
  <si>
    <t>Energisa PB</t>
  </si>
  <si>
    <t>REH Nº 3.101, DE 23 DE AGOSTO DE 2022</t>
  </si>
  <si>
    <t>Energisa RO</t>
  </si>
  <si>
    <t>REH Nº 3.157, DE 13 DE DEZEMBRO DE 2022</t>
  </si>
  <si>
    <t>Energisa SE</t>
  </si>
  <si>
    <t>REH Nº 3.063, DE 12 DE JULHO DE 2022</t>
  </si>
  <si>
    <t>Energisa TO</t>
  </si>
  <si>
    <t>REH Nº 3.054, DE 28 DE JUNHO DE 2022</t>
  </si>
  <si>
    <t>Equatorial AL</t>
  </si>
  <si>
    <t>REH Nº 3.033, DE 26 DE ABRIL DE 2022</t>
  </si>
  <si>
    <t>Equatorial MA</t>
  </si>
  <si>
    <t>REH Nº 3.102, DE 23 DE AGOSTO DE 2022</t>
  </si>
  <si>
    <t>Equatorial PA</t>
  </si>
  <si>
    <t>REH Nº 3.092, DE 2 DE AGOSTO DE 2022</t>
  </si>
  <si>
    <t>Equatorial PI</t>
  </si>
  <si>
    <t>REH Nº 3.146, DE 29 DE NOVEMBRO DE 2022</t>
  </si>
  <si>
    <t>ESS</t>
  </si>
  <si>
    <t>REH Nº 3.012, DE 5 DE JULHO DE 2022</t>
  </si>
  <si>
    <t>Forcel</t>
  </si>
  <si>
    <t>REH Nº 3.096, DE 23 DE AGOSTO DE 2022</t>
  </si>
  <si>
    <t>Hidropan</t>
  </si>
  <si>
    <t>REH Nº 3.071, DE 19 DE JULHO DE 2022</t>
  </si>
  <si>
    <t>Light</t>
  </si>
  <si>
    <t>REH Nº 3.144, DE 13 DE DEZEMBRO DE 2022</t>
  </si>
  <si>
    <t>MuxEnergia</t>
  </si>
  <si>
    <t>REH Nº 3.072, DE 19 DE JULHO DE 2022</t>
  </si>
  <si>
    <t>Neoenergia Brasília</t>
  </si>
  <si>
    <t>REH Nº 3.134, DE 1 DE NOVEMBRO DE 2022</t>
  </si>
  <si>
    <t>Neoenergia Coelba</t>
  </si>
  <si>
    <t>REH Nº 3.056, DE 12 DE JULHO DE 2022</t>
  </si>
  <si>
    <t>Neoenergia Cosern</t>
  </si>
  <si>
    <t>REH Nº 3.057, DE 12 DE JULHO DE 2022</t>
  </si>
  <si>
    <t>Neoenergia Elektro</t>
  </si>
  <si>
    <t>REH Nº 3.100, DE 23 DE AGOSTO DE 2022</t>
  </si>
  <si>
    <t>Neoenergia Pernambuco</t>
  </si>
  <si>
    <t>REH Nº 3.055, DE 12 DE JULHO DE 2022</t>
  </si>
  <si>
    <t>Nova Palma</t>
  </si>
  <si>
    <t>REH Nº 3.073, DE 19 DE JULHO DE 2022</t>
  </si>
  <si>
    <t>RGE</t>
  </si>
  <si>
    <t>REH Nº 3.045, DE 21 DE JUNHO DE 2022</t>
  </si>
  <si>
    <t>Roraima Energia</t>
  </si>
  <si>
    <t>REH Nº 3.133, DE 1 DE NOVEMBRO DE 2022</t>
  </si>
  <si>
    <t>Sulgipe</t>
  </si>
  <si>
    <t>REH Nº 3.062, DE 12 DE JULHO DE 2022</t>
  </si>
  <si>
    <t>TUSDee</t>
  </si>
  <si>
    <t>Teee</t>
  </si>
  <si>
    <t>TUDS</t>
  </si>
  <si>
    <t>kWh</t>
  </si>
  <si>
    <t>Tarifa</t>
  </si>
  <si>
    <t>Tarida_imposto</t>
  </si>
  <si>
    <t>Concessionária</t>
  </si>
  <si>
    <t>Celesc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</si>
</sst>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07">
  <autoFilter ref="A1:O107" xr:uid="{00000000-0009-0000-0100-000001000000}"/>
  <tableColumns count="15">
    <tableColumn id="1" xr3:uid="{00000000-0010-0000-0000-000001000000}" name="Concessionária"/>
    <tableColumn id="2" xr3:uid="{00000000-0010-0000-0000-000002000000}" name="Resolução ANEEL"/>
    <tableColumn id="3" xr3:uid="{00000000-0010-0000-0000-000003000000}" name="Início Vigência"/>
    <tableColumn id="4" xr3:uid="{00000000-0010-0000-0000-000004000000}" name="Fim Vigência"/>
    <tableColumn id="5" xr3:uid="{00000000-0010-0000-0000-000005000000}" name="Base Tarifária"/>
    <tableColumn id="6" xr3:uid="{00000000-0010-0000-0000-000006000000}" name="Subgrupo"/>
    <tableColumn id="8" xr3:uid="{00000000-0010-0000-0000-000008000000}" name="Classe"/>
    <tableColumn id="9" xr3:uid="{00000000-0010-0000-0000-000009000000}" name="Subclasse"/>
    <tableColumn id="13" xr3:uid="{00000000-0010-0000-0000-00000D000000}" name="Unidade"/>
    <tableColumn id="14" xr3:uid="{00000000-0010-0000-0000-00000E000000}" name="TUSDee"/>
    <tableColumn id="15" xr3:uid="{00000000-0010-0000-0000-00000F000000}" name="Teee"/>
    <tableColumn id="16" xr3:uid="{8F0BE6FA-A101-4181-90ED-583C5D1166D2}" name="TUDS" dataDxfId="3">
      <calculatedColumnFormula>Table1[[#This Row],[TUSDee]]/1000</calculatedColumnFormula>
    </tableColumn>
    <tableColumn id="17" xr3:uid="{5A60BD53-2B36-456F-BE8D-C60B67E59301}" name="TE" dataDxfId="2">
      <calculatedColumnFormula>Table1[[#This Row],[Teee]]/1000</calculatedColumnFormula>
    </tableColumn>
    <tableColumn id="18" xr3:uid="{90D98326-0202-41BD-95B8-EA6652E93A6C}" name="Tarifa" dataDxfId="1">
      <calculatedColumnFormula>Table1[[#This Row],[TUDS]]+Table1[[#This Row],[TE]]</calculatedColumnFormula>
    </tableColumn>
    <tableColumn id="19" xr3:uid="{D5B40638-B05A-46FD-9B46-10B62448B6CD}" name="Tarida_impos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zoomScale="85" zoomScaleNormal="85" workbookViewId="0">
      <selection activeCell="T8" sqref="T8"/>
    </sheetView>
  </sheetViews>
  <sheetFormatPr defaultColWidth="12.33203125" defaultRowHeight="14.4" x14ac:dyDescent="0.3"/>
  <cols>
    <col min="1" max="1" width="21.5546875" customWidth="1"/>
    <col min="5" max="5" width="20.21875" customWidth="1"/>
    <col min="6" max="6" width="8.88671875" customWidth="1"/>
    <col min="9" max="9" width="8" customWidth="1"/>
    <col min="10" max="11" width="0" hidden="1" customWidth="1"/>
    <col min="15" max="15" width="16.33203125" customWidth="1"/>
  </cols>
  <sheetData>
    <row r="1" spans="1:16" x14ac:dyDescent="0.3">
      <c r="A1" t="s">
        <v>123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117</v>
      </c>
      <c r="K1" t="s">
        <v>118</v>
      </c>
      <c r="L1" t="s">
        <v>119</v>
      </c>
      <c r="M1" t="s">
        <v>8</v>
      </c>
      <c r="N1" t="s">
        <v>121</v>
      </c>
      <c r="O1" t="s">
        <v>122</v>
      </c>
      <c r="P1">
        <v>1</v>
      </c>
    </row>
    <row r="2" spans="1:16" x14ac:dyDescent="0.3">
      <c r="C2" s="1"/>
      <c r="D2" s="1"/>
    </row>
    <row r="3" spans="1:16" x14ac:dyDescent="0.3">
      <c r="A3" t="s">
        <v>9</v>
      </c>
      <c r="B3" t="s">
        <v>10</v>
      </c>
      <c r="C3" s="1">
        <v>44866</v>
      </c>
      <c r="D3" s="1">
        <v>45230</v>
      </c>
      <c r="E3" t="s">
        <v>11</v>
      </c>
      <c r="F3" t="s">
        <v>13</v>
      </c>
      <c r="G3" t="s">
        <v>12</v>
      </c>
      <c r="H3" t="s">
        <v>12</v>
      </c>
      <c r="I3" t="s">
        <v>120</v>
      </c>
      <c r="J3">
        <v>546.80999999999995</v>
      </c>
      <c r="K3">
        <v>288.04000000000002</v>
      </c>
      <c r="L3">
        <f>Table1[[#This Row],[TUSDee]]/1000</f>
        <v>0.54680999999999991</v>
      </c>
      <c r="M3">
        <f>Table1[[#This Row],[Teee]]/1000</f>
        <v>0.28804000000000002</v>
      </c>
      <c r="N3">
        <f>Table1[[#This Row],[TUDS]]+Table1[[#This Row],[TE]]</f>
        <v>0.83484999999999987</v>
      </c>
      <c r="P3">
        <v>3</v>
      </c>
    </row>
    <row r="4" spans="1:16" x14ac:dyDescent="0.3">
      <c r="C4" s="1"/>
      <c r="D4" s="1"/>
    </row>
    <row r="5" spans="1:16" x14ac:dyDescent="0.3">
      <c r="A5" t="s">
        <v>14</v>
      </c>
      <c r="B5" t="s">
        <v>15</v>
      </c>
      <c r="C5" s="1">
        <v>44908</v>
      </c>
      <c r="D5" s="1">
        <v>45272</v>
      </c>
      <c r="E5" t="s">
        <v>11</v>
      </c>
      <c r="F5" t="s">
        <v>13</v>
      </c>
      <c r="G5" t="s">
        <v>12</v>
      </c>
      <c r="H5" t="s">
        <v>12</v>
      </c>
      <c r="I5" t="s">
        <v>120</v>
      </c>
      <c r="J5">
        <v>497.19</v>
      </c>
      <c r="K5">
        <v>224.48</v>
      </c>
      <c r="L5">
        <f>Table1[[#This Row],[TUSDee]]/1000</f>
        <v>0.49719000000000002</v>
      </c>
      <c r="M5">
        <f>Table1[[#This Row],[Teee]]/1000</f>
        <v>0.22447999999999999</v>
      </c>
      <c r="N5">
        <f>Table1[[#This Row],[TUDS]]+Table1[[#This Row],[TE]]</f>
        <v>0.72167000000000003</v>
      </c>
      <c r="P5">
        <v>5</v>
      </c>
    </row>
    <row r="6" spans="1:16" x14ac:dyDescent="0.3">
      <c r="C6" s="1"/>
      <c r="D6" s="1"/>
    </row>
    <row r="7" spans="1:16" x14ac:dyDescent="0.3">
      <c r="A7" t="s">
        <v>16</v>
      </c>
      <c r="B7" t="s">
        <v>17</v>
      </c>
      <c r="C7" s="1">
        <v>44887</v>
      </c>
      <c r="D7" s="1">
        <v>45251</v>
      </c>
      <c r="E7" t="s">
        <v>11</v>
      </c>
      <c r="F7" t="s">
        <v>13</v>
      </c>
      <c r="G7" t="s">
        <v>12</v>
      </c>
      <c r="H7" t="s">
        <v>12</v>
      </c>
      <c r="I7" t="s">
        <v>120</v>
      </c>
      <c r="J7">
        <v>377.12</v>
      </c>
      <c r="K7">
        <v>278.44</v>
      </c>
      <c r="L7">
        <f>Table1[[#This Row],[TUSDee]]/1000</f>
        <v>0.37712000000000001</v>
      </c>
      <c r="M7">
        <f>Table1[[#This Row],[Teee]]/1000</f>
        <v>0.27844000000000002</v>
      </c>
      <c r="N7">
        <f>Table1[[#This Row],[TUDS]]+Table1[[#This Row],[TE]]</f>
        <v>0.65556000000000003</v>
      </c>
      <c r="P7">
        <v>7</v>
      </c>
    </row>
    <row r="8" spans="1:16" x14ac:dyDescent="0.3">
      <c r="C8" s="1"/>
      <c r="D8" s="1"/>
    </row>
    <row r="9" spans="1:16" x14ac:dyDescent="0.3">
      <c r="A9" t="s">
        <v>124</v>
      </c>
      <c r="B9" t="s">
        <v>18</v>
      </c>
      <c r="C9" s="1">
        <v>44795</v>
      </c>
      <c r="D9" s="1">
        <v>45159</v>
      </c>
      <c r="E9" t="s">
        <v>11</v>
      </c>
      <c r="F9" t="s">
        <v>13</v>
      </c>
      <c r="G9" t="s">
        <v>12</v>
      </c>
      <c r="H9" t="s">
        <v>12</v>
      </c>
      <c r="I9" t="s">
        <v>120</v>
      </c>
      <c r="J9">
        <v>310.49</v>
      </c>
      <c r="K9">
        <v>262.52999999999997</v>
      </c>
      <c r="L9">
        <f>Table1[[#This Row],[TUSDee]]/1000</f>
        <v>0.31048999999999999</v>
      </c>
      <c r="M9">
        <f>Table1[[#This Row],[Teee]]/1000</f>
        <v>0.26252999999999999</v>
      </c>
      <c r="N9">
        <f>Table1[[#This Row],[TUDS]]+Table1[[#This Row],[TE]]</f>
        <v>0.57301999999999997</v>
      </c>
      <c r="P9">
        <v>9</v>
      </c>
    </row>
    <row r="10" spans="1:16" x14ac:dyDescent="0.3">
      <c r="C10" s="1"/>
      <c r="D10" s="1"/>
    </row>
    <row r="11" spans="1:16" x14ac:dyDescent="0.3">
      <c r="A11" t="s">
        <v>19</v>
      </c>
      <c r="B11" t="s">
        <v>20</v>
      </c>
      <c r="C11" s="1">
        <v>44734</v>
      </c>
      <c r="D11" s="1">
        <v>45073</v>
      </c>
      <c r="E11" t="s">
        <v>11</v>
      </c>
      <c r="F11" t="s">
        <v>13</v>
      </c>
      <c r="G11" t="s">
        <v>12</v>
      </c>
      <c r="H11" t="s">
        <v>12</v>
      </c>
      <c r="I11" t="s">
        <v>120</v>
      </c>
      <c r="J11">
        <v>409.13</v>
      </c>
      <c r="K11">
        <v>244</v>
      </c>
      <c r="L11">
        <f>Table1[[#This Row],[TUSDee]]/1000</f>
        <v>0.40912999999999999</v>
      </c>
      <c r="M11">
        <f>Table1[[#This Row],[Teee]]/1000</f>
        <v>0.24399999999999999</v>
      </c>
      <c r="N11">
        <f>Table1[[#This Row],[TUDS]]+Table1[[#This Row],[TE]]</f>
        <v>0.65312999999999999</v>
      </c>
      <c r="P11">
        <v>11</v>
      </c>
    </row>
    <row r="12" spans="1:16" x14ac:dyDescent="0.3">
      <c r="C12" s="1"/>
      <c r="D12" s="1"/>
    </row>
    <row r="13" spans="1:16" x14ac:dyDescent="0.3">
      <c r="A13" t="s">
        <v>21</v>
      </c>
      <c r="B13" t="s">
        <v>22</v>
      </c>
      <c r="C13" s="1">
        <v>44887</v>
      </c>
      <c r="D13" s="1">
        <v>45251</v>
      </c>
      <c r="E13" t="s">
        <v>11</v>
      </c>
      <c r="F13" t="s">
        <v>13</v>
      </c>
      <c r="G13" t="s">
        <v>12</v>
      </c>
      <c r="H13" t="s">
        <v>12</v>
      </c>
      <c r="I13" t="s">
        <v>120</v>
      </c>
      <c r="J13">
        <v>384.48</v>
      </c>
      <c r="K13">
        <v>286.51</v>
      </c>
      <c r="L13">
        <f>Table1[[#This Row],[TUSDee]]/1000</f>
        <v>0.38448000000000004</v>
      </c>
      <c r="M13">
        <f>Table1[[#This Row],[Teee]]/1000</f>
        <v>0.28650999999999999</v>
      </c>
      <c r="N13">
        <f>Table1[[#This Row],[TUDS]]+Table1[[#This Row],[TE]]</f>
        <v>0.67098999999999998</v>
      </c>
      <c r="P13">
        <v>13</v>
      </c>
    </row>
    <row r="14" spans="1:16" ht="15" customHeight="1" x14ac:dyDescent="0.3">
      <c r="C14" s="1"/>
      <c r="D14" s="1"/>
    </row>
    <row r="15" spans="1:16" x14ac:dyDescent="0.3">
      <c r="A15" t="s">
        <v>23</v>
      </c>
      <c r="B15" t="s">
        <v>24</v>
      </c>
      <c r="C15" s="1">
        <v>44741</v>
      </c>
      <c r="D15" s="1">
        <v>45105</v>
      </c>
      <c r="E15" t="s">
        <v>11</v>
      </c>
      <c r="F15" t="s">
        <v>13</v>
      </c>
      <c r="G15" t="s">
        <v>12</v>
      </c>
      <c r="H15" t="s">
        <v>12</v>
      </c>
      <c r="I15" t="s">
        <v>120</v>
      </c>
      <c r="J15">
        <v>310.8</v>
      </c>
      <c r="K15">
        <v>258.94</v>
      </c>
      <c r="L15">
        <f>Table1[[#This Row],[TUSDee]]/1000</f>
        <v>0.31080000000000002</v>
      </c>
      <c r="M15">
        <f>Table1[[#This Row],[Teee]]/1000</f>
        <v>0.25894</v>
      </c>
      <c r="N15">
        <f>Table1[[#This Row],[TUDS]]+Table1[[#This Row],[TE]]</f>
        <v>0.56974000000000002</v>
      </c>
      <c r="P15">
        <v>15</v>
      </c>
    </row>
    <row r="16" spans="1:16" x14ac:dyDescent="0.3">
      <c r="C16" s="1"/>
      <c r="D16" s="1"/>
    </row>
    <row r="17" spans="1:16" x14ac:dyDescent="0.3">
      <c r="A17" t="s">
        <v>25</v>
      </c>
      <c r="B17" t="s">
        <v>26</v>
      </c>
      <c r="C17" s="1">
        <v>44802</v>
      </c>
      <c r="D17" s="1">
        <v>45166</v>
      </c>
      <c r="E17" t="s">
        <v>11</v>
      </c>
      <c r="F17" t="s">
        <v>13</v>
      </c>
      <c r="G17" t="s">
        <v>12</v>
      </c>
      <c r="H17" t="s">
        <v>12</v>
      </c>
      <c r="I17" t="s">
        <v>120</v>
      </c>
      <c r="J17">
        <v>310.49</v>
      </c>
      <c r="K17">
        <v>262.52999999999997</v>
      </c>
      <c r="L17">
        <f>Table1[[#This Row],[TUSDee]]/1000</f>
        <v>0.31048999999999999</v>
      </c>
      <c r="M17">
        <f>Table1[[#This Row],[Teee]]/1000</f>
        <v>0.26252999999999999</v>
      </c>
      <c r="N17">
        <f>Table1[[#This Row],[TUDS]]+Table1[[#This Row],[TE]]</f>
        <v>0.57301999999999997</v>
      </c>
      <c r="P17">
        <v>17</v>
      </c>
    </row>
    <row r="18" spans="1:16" x14ac:dyDescent="0.3">
      <c r="C18" s="1"/>
      <c r="D18" s="1"/>
    </row>
    <row r="19" spans="1:16" x14ac:dyDescent="0.3">
      <c r="A19" t="s">
        <v>27</v>
      </c>
      <c r="B19" t="s">
        <v>28</v>
      </c>
      <c r="C19" s="1">
        <v>44736</v>
      </c>
      <c r="D19" s="1">
        <v>45100</v>
      </c>
      <c r="E19" t="s">
        <v>11</v>
      </c>
      <c r="F19" t="s">
        <v>13</v>
      </c>
      <c r="G19" t="s">
        <v>12</v>
      </c>
      <c r="H19" t="s">
        <v>12</v>
      </c>
      <c r="I19" t="s">
        <v>120</v>
      </c>
      <c r="J19">
        <v>310.8</v>
      </c>
      <c r="K19">
        <v>258.94</v>
      </c>
      <c r="L19">
        <f>Table1[[#This Row],[TUSDee]]/1000</f>
        <v>0.31080000000000002</v>
      </c>
      <c r="M19">
        <f>Table1[[#This Row],[Teee]]/1000</f>
        <v>0.25894</v>
      </c>
      <c r="N19">
        <f>Table1[[#This Row],[TUDS]]+Table1[[#This Row],[TE]]</f>
        <v>0.56974000000000002</v>
      </c>
      <c r="P19">
        <v>19</v>
      </c>
    </row>
    <row r="20" spans="1:16" x14ac:dyDescent="0.3">
      <c r="C20" s="1"/>
      <c r="D20" s="1"/>
    </row>
    <row r="21" spans="1:16" x14ac:dyDescent="0.3">
      <c r="A21" t="s">
        <v>29</v>
      </c>
      <c r="B21" t="s">
        <v>30</v>
      </c>
      <c r="C21" s="1">
        <v>44755</v>
      </c>
      <c r="D21" s="1">
        <v>45023</v>
      </c>
      <c r="E21" t="s">
        <v>11</v>
      </c>
      <c r="F21" t="s">
        <v>13</v>
      </c>
      <c r="G21" t="s">
        <v>12</v>
      </c>
      <c r="H21" t="s">
        <v>12</v>
      </c>
      <c r="I21" t="s">
        <v>120</v>
      </c>
      <c r="J21">
        <v>365.99</v>
      </c>
      <c r="K21">
        <v>295.92</v>
      </c>
      <c r="L21">
        <f>Table1[[#This Row],[TUSDee]]/1000</f>
        <v>0.36598999999999998</v>
      </c>
      <c r="M21">
        <f>Table1[[#This Row],[Teee]]/1000</f>
        <v>0.29592000000000002</v>
      </c>
      <c r="N21">
        <f>Table1[[#This Row],[TUDS]]+Table1[[#This Row],[TE]]</f>
        <v>0.66191</v>
      </c>
      <c r="P21">
        <v>21</v>
      </c>
    </row>
    <row r="22" spans="1:16" x14ac:dyDescent="0.3">
      <c r="C22" s="1"/>
      <c r="D22" s="1"/>
    </row>
    <row r="23" spans="1:16" x14ac:dyDescent="0.3">
      <c r="A23" t="s">
        <v>31</v>
      </c>
      <c r="B23" t="s">
        <v>32</v>
      </c>
      <c r="C23" s="1">
        <v>44857</v>
      </c>
      <c r="D23" s="1">
        <v>45221</v>
      </c>
      <c r="E23" t="s">
        <v>11</v>
      </c>
      <c r="F23" t="s">
        <v>13</v>
      </c>
      <c r="G23" t="s">
        <v>12</v>
      </c>
      <c r="H23" t="s">
        <v>12</v>
      </c>
      <c r="I23" t="s">
        <v>120</v>
      </c>
      <c r="J23">
        <v>360.87</v>
      </c>
      <c r="K23">
        <v>319.31</v>
      </c>
      <c r="L23">
        <f>Table1[[#This Row],[TUSDee]]/1000</f>
        <v>0.36087000000000002</v>
      </c>
      <c r="M23">
        <f>Table1[[#This Row],[Teee]]/1000</f>
        <v>0.31930999999999998</v>
      </c>
      <c r="N23">
        <f>Table1[[#This Row],[TUDS]]+Table1[[#This Row],[TE]]</f>
        <v>0.68018000000000001</v>
      </c>
      <c r="P23">
        <v>23</v>
      </c>
    </row>
    <row r="24" spans="1:16" x14ac:dyDescent="0.3">
      <c r="C24" s="1"/>
      <c r="D24" s="1"/>
    </row>
    <row r="25" spans="1:16" x14ac:dyDescent="0.3">
      <c r="A25" t="s">
        <v>33</v>
      </c>
      <c r="B25" t="s">
        <v>34</v>
      </c>
      <c r="C25" s="1">
        <v>44755</v>
      </c>
      <c r="D25" s="1">
        <v>45006</v>
      </c>
      <c r="E25" t="s">
        <v>11</v>
      </c>
      <c r="F25" t="s">
        <v>13</v>
      </c>
      <c r="G25" t="s">
        <v>12</v>
      </c>
      <c r="H25" t="s">
        <v>12</v>
      </c>
      <c r="I25" t="s">
        <v>120</v>
      </c>
      <c r="J25">
        <v>342.55</v>
      </c>
      <c r="K25">
        <v>249.33</v>
      </c>
      <c r="L25">
        <f>Table1[[#This Row],[TUSDee]]/1000</f>
        <v>0.34255000000000002</v>
      </c>
      <c r="M25">
        <f>Table1[[#This Row],[Teee]]/1000</f>
        <v>0.24933000000000002</v>
      </c>
      <c r="N25">
        <f>Table1[[#This Row],[TUDS]]+Table1[[#This Row],[TE]]</f>
        <v>0.59188000000000007</v>
      </c>
      <c r="P25">
        <v>25</v>
      </c>
    </row>
    <row r="26" spans="1:16" x14ac:dyDescent="0.3">
      <c r="C26" s="1"/>
      <c r="D26" s="1"/>
    </row>
    <row r="27" spans="1:16" x14ac:dyDescent="0.3">
      <c r="A27" t="s">
        <v>35</v>
      </c>
      <c r="B27" t="s">
        <v>36</v>
      </c>
      <c r="C27" s="1">
        <v>44802</v>
      </c>
      <c r="D27" s="1">
        <v>45166</v>
      </c>
      <c r="E27" t="s">
        <v>11</v>
      </c>
      <c r="F27" t="s">
        <v>13</v>
      </c>
      <c r="G27" t="s">
        <v>12</v>
      </c>
      <c r="H27" t="s">
        <v>12</v>
      </c>
      <c r="I27" t="s">
        <v>120</v>
      </c>
      <c r="J27">
        <v>310.49</v>
      </c>
      <c r="K27">
        <v>262.52999999999997</v>
      </c>
      <c r="L27">
        <f>Table1[[#This Row],[TUSDee]]/1000</f>
        <v>0.31048999999999999</v>
      </c>
      <c r="M27">
        <f>Table1[[#This Row],[Teee]]/1000</f>
        <v>0.26252999999999999</v>
      </c>
      <c r="N27">
        <f>Table1[[#This Row],[TUDS]]+Table1[[#This Row],[TE]]</f>
        <v>0.57301999999999997</v>
      </c>
      <c r="P27">
        <v>27</v>
      </c>
    </row>
    <row r="28" spans="1:16" x14ac:dyDescent="0.3">
      <c r="C28" s="1"/>
      <c r="D28" s="1"/>
    </row>
    <row r="29" spans="1:16" x14ac:dyDescent="0.3">
      <c r="A29" t="s">
        <v>37</v>
      </c>
      <c r="B29" t="s">
        <v>38</v>
      </c>
      <c r="C29" s="1">
        <v>44764</v>
      </c>
      <c r="D29" s="1">
        <v>45128</v>
      </c>
      <c r="E29" t="s">
        <v>11</v>
      </c>
      <c r="F29" t="s">
        <v>13</v>
      </c>
      <c r="G29" t="s">
        <v>12</v>
      </c>
      <c r="H29" t="s">
        <v>12</v>
      </c>
      <c r="I29" t="s">
        <v>120</v>
      </c>
      <c r="J29">
        <v>421.12</v>
      </c>
      <c r="K29">
        <v>259.99</v>
      </c>
      <c r="L29">
        <f>Table1[[#This Row],[TUSDee]]/1000</f>
        <v>0.42111999999999999</v>
      </c>
      <c r="M29">
        <f>Table1[[#This Row],[Teee]]/1000</f>
        <v>0.25999</v>
      </c>
      <c r="N29">
        <f>Table1[[#This Row],[TUDS]]+Table1[[#This Row],[TE]]</f>
        <v>0.68110999999999999</v>
      </c>
      <c r="P29">
        <v>29</v>
      </c>
    </row>
    <row r="30" spans="1:16" x14ac:dyDescent="0.3">
      <c r="C30" s="1"/>
      <c r="D30" s="1"/>
    </row>
    <row r="31" spans="1:16" x14ac:dyDescent="0.3">
      <c r="A31" t="s">
        <v>39</v>
      </c>
      <c r="B31" t="s">
        <v>40</v>
      </c>
      <c r="C31" s="1">
        <v>44887</v>
      </c>
      <c r="D31" s="1">
        <v>45251</v>
      </c>
      <c r="E31" t="s">
        <v>11</v>
      </c>
      <c r="F31" t="s">
        <v>13</v>
      </c>
      <c r="G31" t="s">
        <v>12</v>
      </c>
      <c r="H31" t="s">
        <v>12</v>
      </c>
      <c r="I31" t="s">
        <v>120</v>
      </c>
      <c r="J31">
        <v>409.13</v>
      </c>
      <c r="K31">
        <v>244</v>
      </c>
      <c r="L31">
        <f>Table1[[#This Row],[TUSDee]]/1000</f>
        <v>0.40912999999999999</v>
      </c>
      <c r="M31">
        <f>Table1[[#This Row],[Teee]]/1000</f>
        <v>0.24399999999999999</v>
      </c>
      <c r="N31">
        <f>Table1[[#This Row],[TUDS]]+Table1[[#This Row],[TE]]</f>
        <v>0.65312999999999999</v>
      </c>
      <c r="P31">
        <v>31</v>
      </c>
    </row>
    <row r="32" spans="1:16" x14ac:dyDescent="0.3">
      <c r="C32" s="1"/>
      <c r="D32" s="1"/>
    </row>
    <row r="33" spans="1:16" x14ac:dyDescent="0.3">
      <c r="A33" t="s">
        <v>41</v>
      </c>
      <c r="B33" t="s">
        <v>42</v>
      </c>
      <c r="C33" s="1">
        <v>44780</v>
      </c>
      <c r="D33" s="1">
        <v>45144</v>
      </c>
      <c r="E33" t="s">
        <v>11</v>
      </c>
      <c r="F33" t="s">
        <v>13</v>
      </c>
      <c r="G33" t="s">
        <v>12</v>
      </c>
      <c r="H33" t="s">
        <v>12</v>
      </c>
      <c r="I33" t="s">
        <v>120</v>
      </c>
      <c r="J33">
        <v>396.81</v>
      </c>
      <c r="K33">
        <v>277.02999999999997</v>
      </c>
      <c r="L33">
        <f>Table1[[#This Row],[TUSDee]]/1000</f>
        <v>0.39681</v>
      </c>
      <c r="M33">
        <f>Table1[[#This Row],[Teee]]/1000</f>
        <v>0.27703</v>
      </c>
      <c r="N33">
        <f>Table1[[#This Row],[TUDS]]+Table1[[#This Row],[TE]]</f>
        <v>0.67383999999999999</v>
      </c>
      <c r="P33">
        <v>33</v>
      </c>
    </row>
    <row r="34" spans="1:16" x14ac:dyDescent="0.3">
      <c r="C34" s="1"/>
      <c r="D34" s="1"/>
    </row>
    <row r="35" spans="1:16" x14ac:dyDescent="0.3">
      <c r="A35" t="s">
        <v>43</v>
      </c>
      <c r="B35" t="s">
        <v>44</v>
      </c>
      <c r="C35" s="1">
        <v>44857</v>
      </c>
      <c r="D35" s="1">
        <v>45221</v>
      </c>
      <c r="E35" t="s">
        <v>11</v>
      </c>
      <c r="F35" t="s">
        <v>13</v>
      </c>
      <c r="G35" t="s">
        <v>12</v>
      </c>
      <c r="H35" t="s">
        <v>12</v>
      </c>
      <c r="I35" t="s">
        <v>120</v>
      </c>
      <c r="J35">
        <v>377.43</v>
      </c>
      <c r="K35">
        <v>276.14</v>
      </c>
      <c r="L35">
        <f>Table1[[#This Row],[TUSDee]]/1000</f>
        <v>0.37742999999999999</v>
      </c>
      <c r="M35">
        <f>Table1[[#This Row],[Teee]]/1000</f>
        <v>0.27614</v>
      </c>
      <c r="N35">
        <f>Table1[[#This Row],[TUDS]]+Table1[[#This Row],[TE]]</f>
        <v>0.65356999999999998</v>
      </c>
      <c r="P35">
        <v>35</v>
      </c>
    </row>
    <row r="36" spans="1:16" x14ac:dyDescent="0.3">
      <c r="C36" s="1"/>
      <c r="D36" s="1"/>
    </row>
    <row r="37" spans="1:16" x14ac:dyDescent="0.3">
      <c r="A37" t="s">
        <v>45</v>
      </c>
      <c r="B37" t="s">
        <v>46</v>
      </c>
      <c r="C37" s="1">
        <v>44802</v>
      </c>
      <c r="D37" s="1">
        <v>45166</v>
      </c>
      <c r="E37" t="s">
        <v>11</v>
      </c>
      <c r="F37" t="s">
        <v>13</v>
      </c>
      <c r="G37" t="s">
        <v>12</v>
      </c>
      <c r="H37" t="s">
        <v>12</v>
      </c>
      <c r="I37" t="s">
        <v>120</v>
      </c>
      <c r="J37">
        <v>310.49</v>
      </c>
      <c r="K37">
        <v>262.52999999999997</v>
      </c>
      <c r="L37">
        <f>Table1[[#This Row],[TUSDee]]/1000</f>
        <v>0.31048999999999999</v>
      </c>
      <c r="M37">
        <f>Table1[[#This Row],[Teee]]/1000</f>
        <v>0.26252999999999999</v>
      </c>
      <c r="N37">
        <f>Table1[[#This Row],[TUDS]]+Table1[[#This Row],[TE]]</f>
        <v>0.57301999999999997</v>
      </c>
      <c r="P37">
        <v>37</v>
      </c>
    </row>
    <row r="38" spans="1:16" x14ac:dyDescent="0.3">
      <c r="C38" s="1"/>
      <c r="D38" s="1"/>
    </row>
    <row r="39" spans="1:16" x14ac:dyDescent="0.3">
      <c r="A39" t="s">
        <v>47</v>
      </c>
      <c r="B39" t="s">
        <v>48</v>
      </c>
      <c r="C39" s="1">
        <v>44802</v>
      </c>
      <c r="D39" s="1">
        <v>45166</v>
      </c>
      <c r="E39" t="s">
        <v>11</v>
      </c>
      <c r="F39" t="s">
        <v>13</v>
      </c>
      <c r="G39" t="s">
        <v>12</v>
      </c>
      <c r="H39" t="s">
        <v>12</v>
      </c>
      <c r="I39" t="s">
        <v>120</v>
      </c>
      <c r="J39">
        <v>310.49</v>
      </c>
      <c r="K39">
        <v>262.52999999999997</v>
      </c>
      <c r="L39">
        <f>Table1[[#This Row],[TUSDee]]/1000</f>
        <v>0.31048999999999999</v>
      </c>
      <c r="M39">
        <f>Table1[[#This Row],[Teee]]/1000</f>
        <v>0.26252999999999999</v>
      </c>
      <c r="N39">
        <f>Table1[[#This Row],[TUDS]]+Table1[[#This Row],[TE]]</f>
        <v>0.57301999999999997</v>
      </c>
      <c r="P39">
        <v>39</v>
      </c>
    </row>
    <row r="40" spans="1:16" x14ac:dyDescent="0.3">
      <c r="C40" s="1"/>
      <c r="D40" s="1"/>
    </row>
    <row r="41" spans="1:16" x14ac:dyDescent="0.3">
      <c r="A41" t="s">
        <v>49</v>
      </c>
      <c r="B41" t="s">
        <v>50</v>
      </c>
      <c r="C41" s="1">
        <v>44764</v>
      </c>
      <c r="D41" s="1">
        <v>45128</v>
      </c>
      <c r="E41" t="s">
        <v>11</v>
      </c>
      <c r="F41" t="s">
        <v>13</v>
      </c>
      <c r="G41" t="s">
        <v>12</v>
      </c>
      <c r="H41" t="s">
        <v>12</v>
      </c>
      <c r="I41" t="s">
        <v>120</v>
      </c>
      <c r="J41">
        <v>330.16</v>
      </c>
      <c r="K41">
        <v>230.58</v>
      </c>
      <c r="L41">
        <f>Table1[[#This Row],[TUSDee]]/1000</f>
        <v>0.33016000000000001</v>
      </c>
      <c r="M41">
        <f>Table1[[#This Row],[Teee]]/1000</f>
        <v>0.23058000000000001</v>
      </c>
      <c r="N41">
        <f>Table1[[#This Row],[TUDS]]+Table1[[#This Row],[TE]]</f>
        <v>0.56074000000000002</v>
      </c>
      <c r="P41">
        <v>41</v>
      </c>
    </row>
    <row r="42" spans="1:16" x14ac:dyDescent="0.3">
      <c r="C42" s="1"/>
      <c r="D42" s="1"/>
    </row>
    <row r="43" spans="1:16" x14ac:dyDescent="0.3">
      <c r="A43" t="s">
        <v>51</v>
      </c>
      <c r="B43" t="s">
        <v>52</v>
      </c>
      <c r="C43" s="1">
        <v>44826</v>
      </c>
      <c r="D43" s="1">
        <v>45190</v>
      </c>
      <c r="E43" t="s">
        <v>11</v>
      </c>
      <c r="F43" t="s">
        <v>13</v>
      </c>
      <c r="G43" t="s">
        <v>12</v>
      </c>
      <c r="H43" t="s">
        <v>12</v>
      </c>
      <c r="I43" t="s">
        <v>120</v>
      </c>
      <c r="J43">
        <v>434.8</v>
      </c>
      <c r="K43">
        <v>319.95</v>
      </c>
      <c r="L43">
        <f>Table1[[#This Row],[TUSDee]]/1000</f>
        <v>0.43480000000000002</v>
      </c>
      <c r="M43">
        <f>Table1[[#This Row],[Teee]]/1000</f>
        <v>0.31995000000000001</v>
      </c>
      <c r="N43">
        <f>Table1[[#This Row],[TUDS]]+Table1[[#This Row],[TE]]</f>
        <v>0.75475000000000003</v>
      </c>
      <c r="P43">
        <v>43</v>
      </c>
    </row>
    <row r="44" spans="1:16" x14ac:dyDescent="0.3">
      <c r="C44" s="1"/>
      <c r="D44" s="1"/>
    </row>
    <row r="45" spans="1:16" x14ac:dyDescent="0.3">
      <c r="A45" t="s">
        <v>53</v>
      </c>
      <c r="B45" t="s">
        <v>54</v>
      </c>
      <c r="C45" s="1">
        <v>44755</v>
      </c>
      <c r="D45" s="1">
        <v>45037</v>
      </c>
      <c r="E45" t="s">
        <v>11</v>
      </c>
      <c r="F45" t="s">
        <v>13</v>
      </c>
      <c r="G45" t="s">
        <v>12</v>
      </c>
      <c r="H45" t="s">
        <v>12</v>
      </c>
      <c r="I45" t="s">
        <v>120</v>
      </c>
      <c r="J45">
        <v>413.73</v>
      </c>
      <c r="K45">
        <v>295.61</v>
      </c>
      <c r="L45">
        <f>Table1[[#This Row],[TUSDee]]/1000</f>
        <v>0.41373000000000004</v>
      </c>
      <c r="M45">
        <f>Table1[[#This Row],[Teee]]/1000</f>
        <v>0.29561000000000004</v>
      </c>
      <c r="N45">
        <f>Table1[[#This Row],[TUDS]]+Table1[[#This Row],[TE]]</f>
        <v>0.70934000000000008</v>
      </c>
      <c r="P45">
        <v>45</v>
      </c>
    </row>
    <row r="46" spans="1:16" x14ac:dyDescent="0.3">
      <c r="C46" s="1"/>
      <c r="D46" s="1"/>
    </row>
    <row r="47" spans="1:16" x14ac:dyDescent="0.3">
      <c r="A47" t="s">
        <v>55</v>
      </c>
      <c r="B47" t="s">
        <v>56</v>
      </c>
      <c r="C47" s="1">
        <v>44856</v>
      </c>
      <c r="D47" s="1">
        <v>45220</v>
      </c>
      <c r="E47" t="s">
        <v>11</v>
      </c>
      <c r="F47" t="s">
        <v>13</v>
      </c>
      <c r="G47" t="s">
        <v>12</v>
      </c>
      <c r="H47" t="s">
        <v>12</v>
      </c>
      <c r="I47" t="s">
        <v>120</v>
      </c>
      <c r="J47">
        <v>384.48</v>
      </c>
      <c r="K47">
        <v>286.51</v>
      </c>
      <c r="L47">
        <f>Table1[[#This Row],[TUSDee]]/1000</f>
        <v>0.38448000000000004</v>
      </c>
      <c r="M47">
        <f>Table1[[#This Row],[Teee]]/1000</f>
        <v>0.28650999999999999</v>
      </c>
      <c r="N47">
        <f>Table1[[#This Row],[TUDS]]+Table1[[#This Row],[TE]]</f>
        <v>0.67098999999999998</v>
      </c>
      <c r="P47">
        <v>47</v>
      </c>
    </row>
    <row r="48" spans="1:16" x14ac:dyDescent="0.3">
      <c r="C48" s="1"/>
      <c r="D48" s="1"/>
    </row>
    <row r="49" spans="1:16" x14ac:dyDescent="0.3">
      <c r="A49" t="s">
        <v>57</v>
      </c>
      <c r="B49" t="s">
        <v>58</v>
      </c>
      <c r="C49" s="1">
        <v>44755</v>
      </c>
      <c r="D49" s="1">
        <v>44999</v>
      </c>
      <c r="E49" t="s">
        <v>11</v>
      </c>
      <c r="F49" t="s">
        <v>13</v>
      </c>
      <c r="G49" t="s">
        <v>12</v>
      </c>
      <c r="H49" t="s">
        <v>12</v>
      </c>
      <c r="I49" t="s">
        <v>120</v>
      </c>
      <c r="J49">
        <v>496.79</v>
      </c>
      <c r="K49">
        <v>304.85000000000002</v>
      </c>
      <c r="L49">
        <f>Table1[[#This Row],[TUSDee]]/1000</f>
        <v>0.49679000000000001</v>
      </c>
      <c r="M49">
        <f>Table1[[#This Row],[Teee]]/1000</f>
        <v>0.30485000000000001</v>
      </c>
      <c r="N49">
        <f>Table1[[#This Row],[TUDS]]+Table1[[#This Row],[TE]]</f>
        <v>0.80164000000000002</v>
      </c>
      <c r="P49">
        <v>49</v>
      </c>
    </row>
    <row r="50" spans="1:16" x14ac:dyDescent="0.3">
      <c r="C50" s="1"/>
      <c r="D50" s="1"/>
    </row>
    <row r="51" spans="1:16" x14ac:dyDescent="0.3">
      <c r="A51" t="s">
        <v>59</v>
      </c>
      <c r="B51" t="s">
        <v>60</v>
      </c>
      <c r="C51" s="1">
        <v>44746</v>
      </c>
      <c r="D51" s="1">
        <v>45110</v>
      </c>
      <c r="E51" t="s">
        <v>11</v>
      </c>
      <c r="F51" t="s">
        <v>13</v>
      </c>
      <c r="G51" t="s">
        <v>12</v>
      </c>
      <c r="H51" t="s">
        <v>12</v>
      </c>
      <c r="I51" t="s">
        <v>120</v>
      </c>
      <c r="J51">
        <v>396.03</v>
      </c>
      <c r="K51">
        <v>260.45999999999998</v>
      </c>
      <c r="L51">
        <f>Table1[[#This Row],[TUSDee]]/1000</f>
        <v>0.39602999999999999</v>
      </c>
      <c r="M51">
        <f>Table1[[#This Row],[Teee]]/1000</f>
        <v>0.26045999999999997</v>
      </c>
      <c r="N51">
        <f>Table1[[#This Row],[TUDS]]+Table1[[#This Row],[TE]]</f>
        <v>0.65649000000000002</v>
      </c>
      <c r="P51">
        <v>51</v>
      </c>
    </row>
    <row r="52" spans="1:16" x14ac:dyDescent="0.3">
      <c r="C52" s="1"/>
      <c r="D52" s="1"/>
    </row>
    <row r="53" spans="1:16" x14ac:dyDescent="0.3">
      <c r="A53" t="s">
        <v>61</v>
      </c>
      <c r="B53" t="s">
        <v>62</v>
      </c>
      <c r="C53" s="1">
        <v>44908</v>
      </c>
      <c r="D53" s="1">
        <v>45272</v>
      </c>
      <c r="E53" t="s">
        <v>11</v>
      </c>
      <c r="F53" t="s">
        <v>13</v>
      </c>
      <c r="G53" t="s">
        <v>12</v>
      </c>
      <c r="H53" t="s">
        <v>12</v>
      </c>
      <c r="I53" t="s">
        <v>120</v>
      </c>
      <c r="J53">
        <v>502.22</v>
      </c>
      <c r="K53">
        <v>230.68</v>
      </c>
      <c r="L53">
        <f>Table1[[#This Row],[TUSDee]]/1000</f>
        <v>0.50222</v>
      </c>
      <c r="M53">
        <f>Table1[[#This Row],[Teee]]/1000</f>
        <v>0.23068</v>
      </c>
      <c r="N53">
        <f>Table1[[#This Row],[TUDS]]+Table1[[#This Row],[TE]]</f>
        <v>0.7329</v>
      </c>
      <c r="P53">
        <v>53</v>
      </c>
    </row>
    <row r="54" spans="1:16" x14ac:dyDescent="0.3">
      <c r="C54" s="1"/>
      <c r="D54" s="1"/>
    </row>
    <row r="55" spans="1:16" x14ac:dyDescent="0.3">
      <c r="A55" t="s">
        <v>63</v>
      </c>
      <c r="B55" t="s">
        <v>64</v>
      </c>
      <c r="C55" s="1">
        <v>44755</v>
      </c>
      <c r="D55" s="1">
        <v>44960</v>
      </c>
      <c r="E55" t="s">
        <v>11</v>
      </c>
      <c r="F55" t="s">
        <v>13</v>
      </c>
      <c r="G55" t="s">
        <v>12</v>
      </c>
      <c r="H55" t="s">
        <v>12</v>
      </c>
      <c r="I55" t="s">
        <v>120</v>
      </c>
      <c r="J55">
        <v>285.64999999999998</v>
      </c>
      <c r="K55">
        <v>250.79</v>
      </c>
      <c r="L55">
        <f>Table1[[#This Row],[TUSDee]]/1000</f>
        <v>0.28564999999999996</v>
      </c>
      <c r="M55">
        <f>Table1[[#This Row],[Teee]]/1000</f>
        <v>0.25079000000000001</v>
      </c>
      <c r="N55">
        <f>Table1[[#This Row],[TUDS]]+Table1[[#This Row],[TE]]</f>
        <v>0.53644000000000003</v>
      </c>
      <c r="P55">
        <v>55</v>
      </c>
    </row>
    <row r="56" spans="1:16" x14ac:dyDescent="0.3">
      <c r="C56" s="1"/>
      <c r="D56" s="1"/>
    </row>
    <row r="57" spans="1:16" x14ac:dyDescent="0.3">
      <c r="A57" t="s">
        <v>65</v>
      </c>
      <c r="B57" t="s">
        <v>66</v>
      </c>
      <c r="C57" s="1">
        <v>44734</v>
      </c>
      <c r="D57" s="1">
        <v>45098</v>
      </c>
      <c r="E57" t="s">
        <v>11</v>
      </c>
      <c r="F57" t="s">
        <v>13</v>
      </c>
      <c r="G57" t="s">
        <v>12</v>
      </c>
      <c r="H57" t="s">
        <v>12</v>
      </c>
      <c r="I57" t="s">
        <v>120</v>
      </c>
      <c r="J57">
        <v>436.78</v>
      </c>
      <c r="K57">
        <v>329.63</v>
      </c>
      <c r="L57">
        <f>Table1[[#This Row],[TUSDee]]/1000</f>
        <v>0.43677999999999995</v>
      </c>
      <c r="M57">
        <f>Table1[[#This Row],[Teee]]/1000</f>
        <v>0.32962999999999998</v>
      </c>
      <c r="N57">
        <f>Table1[[#This Row],[TUDS]]+Table1[[#This Row],[TE]]</f>
        <v>0.76640999999999992</v>
      </c>
      <c r="P57">
        <v>57</v>
      </c>
    </row>
    <row r="58" spans="1:16" x14ac:dyDescent="0.3">
      <c r="C58" s="1"/>
      <c r="D58" s="1"/>
    </row>
    <row r="59" spans="1:16" x14ac:dyDescent="0.3">
      <c r="A59" t="s">
        <v>67</v>
      </c>
      <c r="B59" t="s">
        <v>68</v>
      </c>
      <c r="C59" s="1">
        <v>44769</v>
      </c>
      <c r="D59" s="1">
        <v>45023</v>
      </c>
      <c r="E59" t="s">
        <v>11</v>
      </c>
      <c r="F59" t="s">
        <v>13</v>
      </c>
      <c r="G59" t="s">
        <v>12</v>
      </c>
      <c r="H59" t="s">
        <v>12</v>
      </c>
      <c r="I59" t="s">
        <v>120</v>
      </c>
      <c r="J59">
        <v>529.14</v>
      </c>
      <c r="K59">
        <v>272.77</v>
      </c>
      <c r="L59">
        <f>Table1[[#This Row],[TUSDee]]/1000</f>
        <v>0.52913999999999994</v>
      </c>
      <c r="M59">
        <f>Table1[[#This Row],[Teee]]/1000</f>
        <v>0.27276999999999996</v>
      </c>
      <c r="N59">
        <f>Table1[[#This Row],[TUDS]]+Table1[[#This Row],[TE]]</f>
        <v>0.8019099999999999</v>
      </c>
      <c r="P59">
        <v>59</v>
      </c>
    </row>
    <row r="60" spans="1:16" x14ac:dyDescent="0.3">
      <c r="C60" s="1"/>
      <c r="D60" s="1"/>
    </row>
    <row r="61" spans="1:16" x14ac:dyDescent="0.3">
      <c r="A61" t="s">
        <v>69</v>
      </c>
      <c r="B61" t="s">
        <v>70</v>
      </c>
      <c r="C61" s="1">
        <v>44769</v>
      </c>
      <c r="D61" s="1">
        <v>45023</v>
      </c>
      <c r="E61" t="s">
        <v>11</v>
      </c>
      <c r="F61" t="s">
        <v>13</v>
      </c>
      <c r="G61" t="s">
        <v>12</v>
      </c>
      <c r="H61" t="s">
        <v>12</v>
      </c>
      <c r="I61" t="s">
        <v>120</v>
      </c>
      <c r="J61">
        <v>545.05999999999995</v>
      </c>
      <c r="K61">
        <v>268.55</v>
      </c>
      <c r="L61">
        <f>Table1[[#This Row],[TUSDee]]/1000</f>
        <v>0.54505999999999999</v>
      </c>
      <c r="M61">
        <f>Table1[[#This Row],[Teee]]/1000</f>
        <v>0.26855000000000001</v>
      </c>
      <c r="N61">
        <f>Table1[[#This Row],[TUDS]]+Table1[[#This Row],[TE]]</f>
        <v>0.81360999999999994</v>
      </c>
      <c r="P61">
        <v>61</v>
      </c>
    </row>
    <row r="62" spans="1:16" x14ac:dyDescent="0.3">
      <c r="C62" s="1"/>
      <c r="D62" s="1"/>
    </row>
    <row r="63" spans="1:16" x14ac:dyDescent="0.3">
      <c r="A63" t="s">
        <v>71</v>
      </c>
      <c r="B63" t="s">
        <v>72</v>
      </c>
      <c r="C63" s="1">
        <v>44734</v>
      </c>
      <c r="D63" s="1">
        <v>45098</v>
      </c>
      <c r="E63" t="s">
        <v>11</v>
      </c>
      <c r="F63" t="s">
        <v>13</v>
      </c>
      <c r="G63" t="s">
        <v>12</v>
      </c>
      <c r="H63" t="s">
        <v>12</v>
      </c>
      <c r="I63" t="s">
        <v>120</v>
      </c>
      <c r="J63">
        <v>476.19</v>
      </c>
      <c r="K63">
        <v>345.74</v>
      </c>
      <c r="L63">
        <f>Table1[[#This Row],[TUSDee]]/1000</f>
        <v>0.47619</v>
      </c>
      <c r="M63">
        <f>Table1[[#This Row],[Teee]]/1000</f>
        <v>0.34573999999999999</v>
      </c>
      <c r="N63">
        <f>Table1[[#This Row],[TUDS]]+Table1[[#This Row],[TE]]</f>
        <v>0.82193000000000005</v>
      </c>
      <c r="P63">
        <v>63</v>
      </c>
    </row>
    <row r="64" spans="1:16" x14ac:dyDescent="0.3">
      <c r="C64" s="1"/>
      <c r="D64" s="1"/>
    </row>
    <row r="65" spans="1:16" x14ac:dyDescent="0.3">
      <c r="A65" t="s">
        <v>73</v>
      </c>
      <c r="B65" t="s">
        <v>74</v>
      </c>
      <c r="C65" s="1">
        <v>44801</v>
      </c>
      <c r="D65" s="1">
        <v>45165</v>
      </c>
      <c r="E65" t="s">
        <v>11</v>
      </c>
      <c r="F65" t="s">
        <v>13</v>
      </c>
      <c r="G65" t="s">
        <v>12</v>
      </c>
      <c r="H65" t="s">
        <v>12</v>
      </c>
      <c r="I65" t="s">
        <v>120</v>
      </c>
      <c r="J65">
        <v>356.61</v>
      </c>
      <c r="K65">
        <v>242.47</v>
      </c>
      <c r="L65">
        <f>Table1[[#This Row],[TUSDee]]/1000</f>
        <v>0.35661000000000004</v>
      </c>
      <c r="M65">
        <f>Table1[[#This Row],[Teee]]/1000</f>
        <v>0.24246999999999999</v>
      </c>
      <c r="N65">
        <f>Table1[[#This Row],[TUDS]]+Table1[[#This Row],[TE]]</f>
        <v>0.59908000000000006</v>
      </c>
      <c r="P65">
        <v>65</v>
      </c>
    </row>
    <row r="66" spans="1:16" x14ac:dyDescent="0.3">
      <c r="C66" s="1"/>
      <c r="D66" s="1"/>
    </row>
    <row r="67" spans="1:16" x14ac:dyDescent="0.3">
      <c r="A67" t="s">
        <v>75</v>
      </c>
      <c r="B67" t="s">
        <v>76</v>
      </c>
      <c r="C67" s="1">
        <v>44908</v>
      </c>
      <c r="D67" s="1">
        <v>45272</v>
      </c>
      <c r="E67" t="s">
        <v>11</v>
      </c>
      <c r="F67" t="s">
        <v>13</v>
      </c>
      <c r="G67" t="s">
        <v>12</v>
      </c>
      <c r="H67" t="s">
        <v>12</v>
      </c>
      <c r="I67" t="s">
        <v>120</v>
      </c>
      <c r="J67">
        <v>423.34</v>
      </c>
      <c r="K67">
        <v>233.95</v>
      </c>
      <c r="L67">
        <f>Table1[[#This Row],[TUSDee]]/1000</f>
        <v>0.42333999999999999</v>
      </c>
      <c r="M67">
        <f>Table1[[#This Row],[Teee]]/1000</f>
        <v>0.23394999999999999</v>
      </c>
      <c r="N67">
        <f>Table1[[#This Row],[TUDS]]+Table1[[#This Row],[TE]]</f>
        <v>0.65728999999999993</v>
      </c>
      <c r="P67">
        <v>67</v>
      </c>
    </row>
    <row r="68" spans="1:16" x14ac:dyDescent="0.3">
      <c r="C68" s="1"/>
      <c r="D68" s="1"/>
    </row>
    <row r="69" spans="1:16" x14ac:dyDescent="0.3">
      <c r="A69" t="s">
        <v>77</v>
      </c>
      <c r="B69" t="s">
        <v>78</v>
      </c>
      <c r="C69" s="1">
        <v>44755</v>
      </c>
      <c r="D69" s="1">
        <v>45037</v>
      </c>
      <c r="E69" t="s">
        <v>11</v>
      </c>
      <c r="F69" t="s">
        <v>13</v>
      </c>
      <c r="G69" t="s">
        <v>12</v>
      </c>
      <c r="H69" t="s">
        <v>12</v>
      </c>
      <c r="I69" t="s">
        <v>120</v>
      </c>
      <c r="J69">
        <v>411.14</v>
      </c>
      <c r="K69">
        <v>234.68</v>
      </c>
      <c r="L69">
        <f>Table1[[#This Row],[TUSDee]]/1000</f>
        <v>0.41114000000000001</v>
      </c>
      <c r="M69">
        <f>Table1[[#This Row],[Teee]]/1000</f>
        <v>0.23468</v>
      </c>
      <c r="N69">
        <f>Table1[[#This Row],[TUDS]]+Table1[[#This Row],[TE]]</f>
        <v>0.64582000000000006</v>
      </c>
      <c r="P69">
        <v>69</v>
      </c>
    </row>
    <row r="70" spans="1:16" x14ac:dyDescent="0.3">
      <c r="C70" s="1"/>
      <c r="D70" s="1"/>
    </row>
    <row r="71" spans="1:16" x14ac:dyDescent="0.3">
      <c r="A71" t="s">
        <v>79</v>
      </c>
      <c r="B71" t="s">
        <v>80</v>
      </c>
      <c r="C71" s="1">
        <v>44746</v>
      </c>
      <c r="D71" s="1">
        <v>45110</v>
      </c>
      <c r="E71" t="s">
        <v>11</v>
      </c>
      <c r="F71" t="s">
        <v>13</v>
      </c>
      <c r="G71" t="s">
        <v>12</v>
      </c>
      <c r="H71" t="s">
        <v>12</v>
      </c>
      <c r="I71" t="s">
        <v>120</v>
      </c>
      <c r="J71">
        <v>489.75</v>
      </c>
      <c r="K71">
        <v>271.99</v>
      </c>
      <c r="L71">
        <f>Table1[[#This Row],[TUSDee]]/1000</f>
        <v>0.48975000000000002</v>
      </c>
      <c r="M71">
        <f>Table1[[#This Row],[Teee]]/1000</f>
        <v>0.27199000000000001</v>
      </c>
      <c r="N71">
        <f>Table1[[#This Row],[TUDS]]+Table1[[#This Row],[TE]]</f>
        <v>0.76174000000000008</v>
      </c>
      <c r="P71">
        <v>71</v>
      </c>
    </row>
    <row r="72" spans="1:16" x14ac:dyDescent="0.3">
      <c r="C72" s="1"/>
      <c r="D72" s="1"/>
    </row>
    <row r="73" spans="1:16" x14ac:dyDescent="0.3">
      <c r="A73" t="s">
        <v>81</v>
      </c>
      <c r="B73" t="s">
        <v>82</v>
      </c>
      <c r="C73" s="1">
        <v>44684</v>
      </c>
      <c r="D73" s="1">
        <v>45048</v>
      </c>
      <c r="E73" t="s">
        <v>11</v>
      </c>
      <c r="F73" t="s">
        <v>13</v>
      </c>
      <c r="G73" t="s">
        <v>12</v>
      </c>
      <c r="H73" t="s">
        <v>12</v>
      </c>
      <c r="I73" t="s">
        <v>120</v>
      </c>
      <c r="J73">
        <v>466.62</v>
      </c>
      <c r="K73">
        <v>283.87</v>
      </c>
      <c r="L73">
        <f>Table1[[#This Row],[TUSDee]]/1000</f>
        <v>0.46661999999999998</v>
      </c>
      <c r="M73">
        <f>Table1[[#This Row],[Teee]]/1000</f>
        <v>0.28387000000000001</v>
      </c>
      <c r="N73">
        <f>Table1[[#This Row],[TUDS]]+Table1[[#This Row],[TE]]</f>
        <v>0.75048999999999999</v>
      </c>
      <c r="P73">
        <v>73</v>
      </c>
    </row>
    <row r="74" spans="1:16" x14ac:dyDescent="0.3">
      <c r="C74" s="1"/>
      <c r="D74" s="1"/>
    </row>
    <row r="75" spans="1:16" x14ac:dyDescent="0.3">
      <c r="A75" t="s">
        <v>83</v>
      </c>
      <c r="B75" t="s">
        <v>84</v>
      </c>
      <c r="C75" s="1">
        <v>44801</v>
      </c>
      <c r="D75" s="1">
        <v>45165</v>
      </c>
      <c r="E75" t="s">
        <v>11</v>
      </c>
      <c r="F75" t="s">
        <v>13</v>
      </c>
      <c r="G75" t="s">
        <v>12</v>
      </c>
      <c r="H75" t="s">
        <v>12</v>
      </c>
      <c r="I75" t="s">
        <v>120</v>
      </c>
      <c r="J75">
        <v>409.03</v>
      </c>
      <c r="K75">
        <v>241.87</v>
      </c>
      <c r="L75">
        <f>Table1[[#This Row],[TUSDee]]/1000</f>
        <v>0.40902999999999995</v>
      </c>
      <c r="M75">
        <f>Table1[[#This Row],[Teee]]/1000</f>
        <v>0.24187</v>
      </c>
      <c r="N75">
        <f>Table1[[#This Row],[TUDS]]+Table1[[#This Row],[TE]]</f>
        <v>0.65089999999999992</v>
      </c>
      <c r="P75">
        <v>75</v>
      </c>
    </row>
    <row r="76" spans="1:16" x14ac:dyDescent="0.3">
      <c r="C76" s="1"/>
      <c r="D76" s="1"/>
    </row>
    <row r="77" spans="1:16" x14ac:dyDescent="0.3">
      <c r="A77" t="s">
        <v>85</v>
      </c>
      <c r="B77" t="s">
        <v>86</v>
      </c>
      <c r="C77" s="1">
        <v>44780</v>
      </c>
      <c r="D77" s="1">
        <v>45144</v>
      </c>
      <c r="E77" t="s">
        <v>11</v>
      </c>
      <c r="F77" t="s">
        <v>13</v>
      </c>
      <c r="G77" t="s">
        <v>12</v>
      </c>
      <c r="H77" t="s">
        <v>12</v>
      </c>
      <c r="I77" t="s">
        <v>120</v>
      </c>
      <c r="J77">
        <v>656.44</v>
      </c>
      <c r="K77">
        <v>222.46</v>
      </c>
      <c r="L77">
        <f>Table1[[#This Row],[TUSDee]]/1000</f>
        <v>0.65644000000000002</v>
      </c>
      <c r="M77">
        <f>Table1[[#This Row],[Teee]]/1000</f>
        <v>0.22246000000000002</v>
      </c>
      <c r="N77">
        <f>Table1[[#This Row],[TUDS]]+Table1[[#This Row],[TE]]</f>
        <v>0.87890000000000001</v>
      </c>
      <c r="P77">
        <v>77</v>
      </c>
    </row>
    <row r="78" spans="1:16" x14ac:dyDescent="0.3">
      <c r="C78" s="1"/>
      <c r="D78" s="1"/>
    </row>
    <row r="79" spans="1:16" x14ac:dyDescent="0.3">
      <c r="A79" t="s">
        <v>87</v>
      </c>
      <c r="B79" t="s">
        <v>88</v>
      </c>
      <c r="C79" s="1">
        <v>44897</v>
      </c>
      <c r="D79" s="1">
        <v>45261</v>
      </c>
      <c r="E79" t="s">
        <v>11</v>
      </c>
      <c r="F79" t="s">
        <v>13</v>
      </c>
      <c r="G79" t="s">
        <v>12</v>
      </c>
      <c r="H79" t="s">
        <v>12</v>
      </c>
      <c r="I79" t="s">
        <v>120</v>
      </c>
      <c r="J79">
        <v>494</v>
      </c>
      <c r="K79">
        <v>249.1</v>
      </c>
      <c r="L79">
        <f>Table1[[#This Row],[TUSDee]]/1000</f>
        <v>0.49399999999999999</v>
      </c>
      <c r="M79">
        <f>Table1[[#This Row],[Teee]]/1000</f>
        <v>0.24909999999999999</v>
      </c>
      <c r="N79">
        <f>Table1[[#This Row],[TUDS]]+Table1[[#This Row],[TE]]</f>
        <v>0.74309999999999998</v>
      </c>
      <c r="P79">
        <v>79</v>
      </c>
    </row>
    <row r="80" spans="1:16" x14ac:dyDescent="0.3">
      <c r="C80" s="1"/>
      <c r="D80" s="1"/>
    </row>
    <row r="81" spans="1:16" x14ac:dyDescent="0.3">
      <c r="A81" t="s">
        <v>89</v>
      </c>
      <c r="B81" t="s">
        <v>90</v>
      </c>
      <c r="C81" s="1">
        <v>44754</v>
      </c>
      <c r="D81" s="1">
        <v>45118</v>
      </c>
      <c r="E81" t="s">
        <v>11</v>
      </c>
      <c r="F81" t="s">
        <v>13</v>
      </c>
      <c r="G81" t="s">
        <v>12</v>
      </c>
      <c r="H81" t="s">
        <v>12</v>
      </c>
      <c r="I81" t="s">
        <v>120</v>
      </c>
      <c r="J81">
        <v>353.4</v>
      </c>
      <c r="K81">
        <v>268.55</v>
      </c>
      <c r="L81">
        <f>Table1[[#This Row],[TUSDee]]/1000</f>
        <v>0.35339999999999999</v>
      </c>
      <c r="M81">
        <f>Table1[[#This Row],[Teee]]/1000</f>
        <v>0.26855000000000001</v>
      </c>
      <c r="N81">
        <f>Table1[[#This Row],[TUDS]]+Table1[[#This Row],[TE]]</f>
        <v>0.62195</v>
      </c>
      <c r="P81">
        <v>81</v>
      </c>
    </row>
    <row r="82" spans="1:16" x14ac:dyDescent="0.3">
      <c r="C82" s="1"/>
      <c r="D82" s="1"/>
    </row>
    <row r="83" spans="1:16" x14ac:dyDescent="0.3">
      <c r="A83" t="s">
        <v>91</v>
      </c>
      <c r="B83" t="s">
        <v>92</v>
      </c>
      <c r="C83" s="1">
        <v>44799</v>
      </c>
      <c r="D83" s="1">
        <v>45163</v>
      </c>
      <c r="E83" t="s">
        <v>11</v>
      </c>
      <c r="F83" t="s">
        <v>13</v>
      </c>
      <c r="G83" t="s">
        <v>12</v>
      </c>
      <c r="H83" t="s">
        <v>12</v>
      </c>
      <c r="I83" t="s">
        <v>120</v>
      </c>
      <c r="J83">
        <v>350.41</v>
      </c>
      <c r="K83">
        <v>207.63</v>
      </c>
      <c r="L83">
        <f>Table1[[#This Row],[TUSDee]]/1000</f>
        <v>0.35041</v>
      </c>
      <c r="M83">
        <f>Table1[[#This Row],[Teee]]/1000</f>
        <v>0.20763000000000001</v>
      </c>
      <c r="N83">
        <f>Table1[[#This Row],[TUDS]]+Table1[[#This Row],[TE]]</f>
        <v>0.55803999999999998</v>
      </c>
      <c r="P83">
        <v>83</v>
      </c>
    </row>
    <row r="84" spans="1:16" x14ac:dyDescent="0.3">
      <c r="C84" s="1"/>
      <c r="D84" s="1"/>
    </row>
    <row r="85" spans="1:16" x14ac:dyDescent="0.3">
      <c r="A85" t="s">
        <v>93</v>
      </c>
      <c r="B85" t="s">
        <v>94</v>
      </c>
      <c r="C85" s="1">
        <v>44764</v>
      </c>
      <c r="D85" s="1">
        <v>45128</v>
      </c>
      <c r="E85" t="s">
        <v>11</v>
      </c>
      <c r="F85" t="s">
        <v>13</v>
      </c>
      <c r="G85" t="s">
        <v>12</v>
      </c>
      <c r="H85" t="s">
        <v>12</v>
      </c>
      <c r="I85" t="s">
        <v>120</v>
      </c>
      <c r="J85">
        <v>313.91000000000003</v>
      </c>
      <c r="K85">
        <v>248.9</v>
      </c>
      <c r="L85">
        <f>Table1[[#This Row],[TUSDee]]/1000</f>
        <v>0.31391000000000002</v>
      </c>
      <c r="M85">
        <f>Table1[[#This Row],[Teee]]/1000</f>
        <v>0.24890000000000001</v>
      </c>
      <c r="N85">
        <f>Table1[[#This Row],[TUDS]]+Table1[[#This Row],[TE]]</f>
        <v>0.56281000000000003</v>
      </c>
      <c r="P85">
        <v>85</v>
      </c>
    </row>
    <row r="86" spans="1:16" x14ac:dyDescent="0.3">
      <c r="C86" s="1"/>
      <c r="D86" s="1"/>
    </row>
    <row r="87" spans="1:16" x14ac:dyDescent="0.3">
      <c r="A87" t="s">
        <v>95</v>
      </c>
      <c r="B87" t="s">
        <v>96</v>
      </c>
      <c r="C87" s="1">
        <v>44910</v>
      </c>
      <c r="D87" s="1">
        <v>44999</v>
      </c>
      <c r="E87" t="s">
        <v>11</v>
      </c>
      <c r="F87" t="s">
        <v>13</v>
      </c>
      <c r="G87" t="s">
        <v>12</v>
      </c>
      <c r="H87" t="s">
        <v>12</v>
      </c>
      <c r="I87" t="s">
        <v>120</v>
      </c>
      <c r="J87">
        <v>418.97</v>
      </c>
      <c r="K87">
        <v>335.14</v>
      </c>
      <c r="L87">
        <f>Table1[[#This Row],[TUSDee]]/1000</f>
        <v>0.41897000000000001</v>
      </c>
      <c r="M87">
        <f>Table1[[#This Row],[Teee]]/1000</f>
        <v>0.33513999999999999</v>
      </c>
      <c r="N87">
        <f>Table1[[#This Row],[TUDS]]+Table1[[#This Row],[TE]]</f>
        <v>0.75411000000000006</v>
      </c>
      <c r="P87">
        <v>87</v>
      </c>
    </row>
    <row r="88" spans="1:16" x14ac:dyDescent="0.3">
      <c r="C88" s="1"/>
      <c r="D88" s="1"/>
    </row>
    <row r="89" spans="1:16" x14ac:dyDescent="0.3">
      <c r="A89" t="s">
        <v>97</v>
      </c>
      <c r="B89" t="s">
        <v>98</v>
      </c>
      <c r="C89" s="1">
        <v>44764</v>
      </c>
      <c r="D89" s="1">
        <v>45128</v>
      </c>
      <c r="E89" t="s">
        <v>11</v>
      </c>
      <c r="F89" t="s">
        <v>13</v>
      </c>
      <c r="G89" t="s">
        <v>12</v>
      </c>
      <c r="H89" t="s">
        <v>12</v>
      </c>
      <c r="I89" t="s">
        <v>120</v>
      </c>
      <c r="J89">
        <v>376.13</v>
      </c>
      <c r="K89">
        <v>227.55</v>
      </c>
      <c r="L89">
        <f>Table1[[#This Row],[TUSDee]]/1000</f>
        <v>0.37613000000000002</v>
      </c>
      <c r="M89">
        <f>Table1[[#This Row],[Teee]]/1000</f>
        <v>0.22755</v>
      </c>
      <c r="N89">
        <f>Table1[[#This Row],[TUDS]]+Table1[[#This Row],[TE]]</f>
        <v>0.60367999999999999</v>
      </c>
      <c r="P89">
        <v>89</v>
      </c>
    </row>
    <row r="90" spans="1:16" x14ac:dyDescent="0.3">
      <c r="C90" s="1"/>
      <c r="D90" s="1"/>
    </row>
    <row r="91" spans="1:16" x14ac:dyDescent="0.3">
      <c r="A91" t="s">
        <v>99</v>
      </c>
      <c r="B91" t="s">
        <v>100</v>
      </c>
      <c r="C91" s="1">
        <v>44868</v>
      </c>
      <c r="D91" s="1">
        <v>45220</v>
      </c>
      <c r="E91" t="s">
        <v>11</v>
      </c>
      <c r="F91" t="s">
        <v>13</v>
      </c>
      <c r="G91" t="s">
        <v>12</v>
      </c>
      <c r="H91" t="s">
        <v>12</v>
      </c>
      <c r="I91" t="s">
        <v>120</v>
      </c>
      <c r="J91">
        <v>345.68</v>
      </c>
      <c r="K91">
        <v>353.03</v>
      </c>
      <c r="L91">
        <f>Table1[[#This Row],[TUSDee]]/1000</f>
        <v>0.34567999999999999</v>
      </c>
      <c r="M91">
        <f>Table1[[#This Row],[Teee]]/1000</f>
        <v>0.35302999999999995</v>
      </c>
      <c r="N91">
        <f>Table1[[#This Row],[TUDS]]+Table1[[#This Row],[TE]]</f>
        <v>0.69870999999999994</v>
      </c>
      <c r="P91">
        <v>91</v>
      </c>
    </row>
    <row r="92" spans="1:16" x14ac:dyDescent="0.3">
      <c r="C92" s="1"/>
      <c r="D92" s="1"/>
    </row>
    <row r="93" spans="1:16" x14ac:dyDescent="0.3">
      <c r="A93" t="s">
        <v>101</v>
      </c>
      <c r="B93" t="s">
        <v>102</v>
      </c>
      <c r="C93" s="1">
        <v>44755</v>
      </c>
      <c r="D93" s="1">
        <v>45037</v>
      </c>
      <c r="E93" t="s">
        <v>11</v>
      </c>
      <c r="F93" t="s">
        <v>13</v>
      </c>
      <c r="G93" t="s">
        <v>12</v>
      </c>
      <c r="H93" t="s">
        <v>12</v>
      </c>
      <c r="I93" t="s">
        <v>120</v>
      </c>
      <c r="J93">
        <v>475.6</v>
      </c>
      <c r="K93">
        <v>270.16000000000003</v>
      </c>
      <c r="L93">
        <f>Table1[[#This Row],[TUSDee]]/1000</f>
        <v>0.47560000000000002</v>
      </c>
      <c r="M93">
        <f>Table1[[#This Row],[Teee]]/1000</f>
        <v>0.27016000000000001</v>
      </c>
      <c r="N93">
        <f>Table1[[#This Row],[TUDS]]+Table1[[#This Row],[TE]]</f>
        <v>0.74575999999999998</v>
      </c>
      <c r="P93">
        <v>93</v>
      </c>
    </row>
    <row r="94" spans="1:16" x14ac:dyDescent="0.3">
      <c r="C94" s="1"/>
      <c r="D94" s="1"/>
    </row>
    <row r="95" spans="1:16" x14ac:dyDescent="0.3">
      <c r="A95" t="s">
        <v>103</v>
      </c>
      <c r="B95" t="s">
        <v>104</v>
      </c>
      <c r="C95" s="1">
        <v>44755</v>
      </c>
      <c r="D95" s="1">
        <v>45037</v>
      </c>
      <c r="E95" t="s">
        <v>11</v>
      </c>
      <c r="F95" t="s">
        <v>13</v>
      </c>
      <c r="G95" t="s">
        <v>12</v>
      </c>
      <c r="H95" t="s">
        <v>12</v>
      </c>
      <c r="I95" t="s">
        <v>120</v>
      </c>
      <c r="J95">
        <v>379.54</v>
      </c>
      <c r="K95">
        <v>282.32</v>
      </c>
      <c r="L95">
        <f>Table1[[#This Row],[TUSDee]]/1000</f>
        <v>0.37954000000000004</v>
      </c>
      <c r="M95">
        <f>Table1[[#This Row],[Teee]]/1000</f>
        <v>0.28232000000000002</v>
      </c>
      <c r="N95">
        <f>Table1[[#This Row],[TUDS]]+Table1[[#This Row],[TE]]</f>
        <v>0.66186000000000011</v>
      </c>
      <c r="P95">
        <v>95</v>
      </c>
    </row>
    <row r="96" spans="1:16" x14ac:dyDescent="0.3">
      <c r="C96" s="1"/>
      <c r="D96" s="1"/>
    </row>
    <row r="97" spans="1:16" x14ac:dyDescent="0.3">
      <c r="A97" t="s">
        <v>105</v>
      </c>
      <c r="B97" t="s">
        <v>106</v>
      </c>
      <c r="C97" s="1">
        <v>44800</v>
      </c>
      <c r="D97" s="1">
        <v>45164</v>
      </c>
      <c r="E97" t="s">
        <v>11</v>
      </c>
      <c r="F97" t="s">
        <v>13</v>
      </c>
      <c r="G97" t="s">
        <v>12</v>
      </c>
      <c r="H97" t="s">
        <v>12</v>
      </c>
      <c r="I97" t="s">
        <v>120</v>
      </c>
      <c r="J97">
        <v>426.45</v>
      </c>
      <c r="K97">
        <v>266.49</v>
      </c>
      <c r="L97">
        <f>Table1[[#This Row],[TUSDee]]/1000</f>
        <v>0.42645</v>
      </c>
      <c r="M97">
        <f>Table1[[#This Row],[Teee]]/1000</f>
        <v>0.26649</v>
      </c>
      <c r="N97">
        <f>Table1[[#This Row],[TUDS]]+Table1[[#This Row],[TE]]</f>
        <v>0.69294</v>
      </c>
      <c r="P97">
        <v>97</v>
      </c>
    </row>
    <row r="98" spans="1:16" x14ac:dyDescent="0.3">
      <c r="C98" s="1"/>
      <c r="D98" s="1"/>
    </row>
    <row r="99" spans="1:16" x14ac:dyDescent="0.3">
      <c r="A99" t="s">
        <v>107</v>
      </c>
      <c r="B99" t="s">
        <v>108</v>
      </c>
      <c r="C99" s="1">
        <v>44755</v>
      </c>
      <c r="D99" s="1">
        <v>45044</v>
      </c>
      <c r="E99" t="s">
        <v>11</v>
      </c>
      <c r="F99" t="s">
        <v>13</v>
      </c>
      <c r="G99" t="s">
        <v>12</v>
      </c>
      <c r="H99" t="s">
        <v>12</v>
      </c>
      <c r="I99" t="s">
        <v>120</v>
      </c>
      <c r="J99">
        <v>384.84</v>
      </c>
      <c r="K99">
        <v>320.82</v>
      </c>
      <c r="L99">
        <f>Table1[[#This Row],[TUSDee]]/1000</f>
        <v>0.38483999999999996</v>
      </c>
      <c r="M99">
        <f>Table1[[#This Row],[Teee]]/1000</f>
        <v>0.32081999999999999</v>
      </c>
      <c r="N99">
        <f>Table1[[#This Row],[TUDS]]+Table1[[#This Row],[TE]]</f>
        <v>0.70565999999999995</v>
      </c>
      <c r="P99">
        <v>99</v>
      </c>
    </row>
    <row r="100" spans="1:16" x14ac:dyDescent="0.3">
      <c r="C100" s="1"/>
      <c r="D100" s="1"/>
    </row>
    <row r="101" spans="1:16" x14ac:dyDescent="0.3">
      <c r="A101" t="s">
        <v>109</v>
      </c>
      <c r="B101" t="s">
        <v>110</v>
      </c>
      <c r="C101" s="1">
        <v>44764</v>
      </c>
      <c r="D101" s="1">
        <v>45128</v>
      </c>
      <c r="E101" t="s">
        <v>11</v>
      </c>
      <c r="F101" t="s">
        <v>13</v>
      </c>
      <c r="G101" t="s">
        <v>12</v>
      </c>
      <c r="H101" t="s">
        <v>12</v>
      </c>
      <c r="I101" t="s">
        <v>120</v>
      </c>
      <c r="J101">
        <v>446.02</v>
      </c>
      <c r="K101">
        <v>205.52</v>
      </c>
      <c r="L101">
        <f>Table1[[#This Row],[TUSDee]]/1000</f>
        <v>0.44601999999999997</v>
      </c>
      <c r="M101">
        <f>Table1[[#This Row],[Teee]]/1000</f>
        <v>0.20552000000000001</v>
      </c>
      <c r="N101">
        <f>Table1[[#This Row],[TUDS]]+Table1[[#This Row],[TE]]</f>
        <v>0.65154000000000001</v>
      </c>
      <c r="P101">
        <v>101</v>
      </c>
    </row>
    <row r="102" spans="1:16" x14ac:dyDescent="0.3">
      <c r="C102" s="1"/>
      <c r="D102" s="1"/>
    </row>
    <row r="103" spans="1:16" x14ac:dyDescent="0.3">
      <c r="A103" t="s">
        <v>111</v>
      </c>
      <c r="B103" t="s">
        <v>112</v>
      </c>
      <c r="C103" s="1">
        <v>44734</v>
      </c>
      <c r="D103" s="1">
        <v>45098</v>
      </c>
      <c r="E103" t="s">
        <v>11</v>
      </c>
      <c r="F103" t="s">
        <v>13</v>
      </c>
      <c r="G103" t="s">
        <v>12</v>
      </c>
      <c r="H103" t="s">
        <v>12</v>
      </c>
      <c r="I103" t="s">
        <v>120</v>
      </c>
      <c r="J103">
        <v>437.54</v>
      </c>
      <c r="K103">
        <v>261.62</v>
      </c>
      <c r="L103">
        <f>Table1[[#This Row],[TUSDee]]/1000</f>
        <v>0.43754000000000004</v>
      </c>
      <c r="M103">
        <f>Table1[[#This Row],[Teee]]/1000</f>
        <v>0.26162000000000002</v>
      </c>
      <c r="N103">
        <f>Table1[[#This Row],[TUDS]]+Table1[[#This Row],[TE]]</f>
        <v>0.69916</v>
      </c>
      <c r="P103">
        <v>103</v>
      </c>
    </row>
    <row r="104" spans="1:16" x14ac:dyDescent="0.3">
      <c r="C104" s="1"/>
      <c r="D104" s="1"/>
    </row>
    <row r="105" spans="1:16" x14ac:dyDescent="0.3">
      <c r="A105" t="s">
        <v>113</v>
      </c>
      <c r="B105" t="s">
        <v>114</v>
      </c>
      <c r="C105" s="1">
        <v>44866</v>
      </c>
      <c r="D105" s="1">
        <v>45230</v>
      </c>
      <c r="E105" t="s">
        <v>11</v>
      </c>
      <c r="F105" t="s">
        <v>13</v>
      </c>
      <c r="G105" t="s">
        <v>12</v>
      </c>
      <c r="H105" t="s">
        <v>12</v>
      </c>
      <c r="I105" t="s">
        <v>120</v>
      </c>
      <c r="J105">
        <v>398.95</v>
      </c>
      <c r="K105">
        <v>336.18</v>
      </c>
      <c r="L105">
        <f>Table1[[#This Row],[TUSDee]]/1000</f>
        <v>0.39894999999999997</v>
      </c>
      <c r="M105">
        <f>Table1[[#This Row],[Teee]]/1000</f>
        <v>0.33618000000000003</v>
      </c>
      <c r="N105">
        <f>Table1[[#This Row],[TUDS]]+Table1[[#This Row],[TE]]</f>
        <v>0.73513000000000006</v>
      </c>
      <c r="P105">
        <v>105</v>
      </c>
    </row>
    <row r="106" spans="1:16" x14ac:dyDescent="0.3">
      <c r="C106" s="1"/>
      <c r="D106" s="1"/>
    </row>
    <row r="107" spans="1:16" x14ac:dyDescent="0.3">
      <c r="A107" t="s">
        <v>115</v>
      </c>
      <c r="B107" t="s">
        <v>116</v>
      </c>
      <c r="C107" s="1">
        <v>44755</v>
      </c>
      <c r="D107" s="1">
        <v>45067</v>
      </c>
      <c r="E107" t="s">
        <v>11</v>
      </c>
      <c r="F107" t="s">
        <v>13</v>
      </c>
      <c r="G107" t="s">
        <v>12</v>
      </c>
      <c r="H107" t="s">
        <v>12</v>
      </c>
      <c r="I107" t="s">
        <v>120</v>
      </c>
      <c r="J107">
        <v>411.14</v>
      </c>
      <c r="K107">
        <v>234.68</v>
      </c>
      <c r="L107">
        <f>Table1[[#This Row],[TUSDee]]/1000</f>
        <v>0.41114000000000001</v>
      </c>
      <c r="M107">
        <f>Table1[[#This Row],[Teee]]/1000</f>
        <v>0.23468</v>
      </c>
      <c r="N107">
        <f>Table1[[#This Row],[TUDS]]+Table1[[#This Row],[TE]]</f>
        <v>0.64582000000000006</v>
      </c>
      <c r="P107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Antônio Wagner</cp:lastModifiedBy>
  <dcterms:created xsi:type="dcterms:W3CDTF">2016-07-06T08:22:49Z</dcterms:created>
  <dcterms:modified xsi:type="dcterms:W3CDTF">2023-09-01T19:15:03Z</dcterms:modified>
</cp:coreProperties>
</file>