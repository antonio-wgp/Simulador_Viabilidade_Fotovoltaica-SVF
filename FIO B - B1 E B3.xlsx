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nton\PycharmProjects\pythonProject1\"/>
    </mc:Choice>
  </mc:AlternateContent>
  <xr:revisionPtr revIDLastSave="0" documentId="13_ncr:1_{13024A71-395B-4585-B72A-845FFC8D8E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1" l="1"/>
  <c r="K3" i="1"/>
  <c r="K5" i="1"/>
  <c r="K7" i="1"/>
  <c r="K9" i="1"/>
  <c r="K11" i="1"/>
  <c r="K13" i="1"/>
  <c r="K15" i="1"/>
  <c r="K17" i="1"/>
  <c r="K19" i="1"/>
  <c r="K21" i="1"/>
  <c r="K23" i="1"/>
  <c r="K25" i="1"/>
  <c r="K27" i="1"/>
  <c r="K29" i="1"/>
  <c r="K31" i="1"/>
  <c r="K33" i="1"/>
  <c r="K35" i="1"/>
  <c r="K37" i="1"/>
  <c r="K39" i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3" i="1"/>
  <c r="K85" i="1"/>
  <c r="K87" i="1"/>
  <c r="K89" i="1"/>
  <c r="K91" i="1"/>
  <c r="K93" i="1"/>
  <c r="K95" i="1"/>
  <c r="K97" i="1"/>
  <c r="K99" i="1"/>
  <c r="K101" i="1"/>
  <c r="K103" i="1"/>
  <c r="K105" i="1"/>
  <c r="K107" i="1"/>
</calcChain>
</file>

<file path=xl/sharedStrings.xml><?xml version="1.0" encoding="utf-8"?>
<sst xmlns="http://schemas.openxmlformats.org/spreadsheetml/2006/main" count="382" uniqueCount="122">
  <si>
    <t>REH</t>
  </si>
  <si>
    <t>Início Vigência</t>
  </si>
  <si>
    <t>Fim Vigência</t>
  </si>
  <si>
    <t>Base Tarifária</t>
  </si>
  <si>
    <t>Subgrupo</t>
  </si>
  <si>
    <t>Classe</t>
  </si>
  <si>
    <t>Unidade</t>
  </si>
  <si>
    <t>Valor</t>
  </si>
  <si>
    <t>Amazonas Energia</t>
  </si>
  <si>
    <t>REH Nº 3.132, DE 1 DE NOVEMBRO DE 2022</t>
  </si>
  <si>
    <t>Tarifa de Aplicação</t>
  </si>
  <si>
    <t>Não se aplica</t>
  </si>
  <si>
    <t>TUSD_FioB</t>
  </si>
  <si>
    <t>B3</t>
  </si>
  <si>
    <t>CEA Equatorial</t>
  </si>
  <si>
    <t>REH Nº 3.163, DE 13 DE DEZEMBRO DE 2022</t>
  </si>
  <si>
    <t>CEEE Equatorial</t>
  </si>
  <si>
    <t>REH Nº 3.138, DE 16 DE NOVEMBRO DE 2022</t>
  </si>
  <si>
    <t>REH Nº 3.094, DE 16 DE AGOSTO DE 2022</t>
  </si>
  <si>
    <t>Cemig-D</t>
  </si>
  <si>
    <t>REH Nº 3.046, DE 21 DE JUNHO DE 2022</t>
  </si>
  <si>
    <t>Chesp</t>
  </si>
  <si>
    <t>REH Nº 3.137, DE 16 DE NOVEMBRO DE 2022</t>
  </si>
  <si>
    <t>Cocel</t>
  </si>
  <si>
    <t>REH Nº 3.052, DE 28 DE JUNHO DE 2022</t>
  </si>
  <si>
    <t>Cooperaliança</t>
  </si>
  <si>
    <t>REH Nº 3.099, DE 23 DE AGOSTO DE 2022</t>
  </si>
  <si>
    <t>Copel-DIS</t>
  </si>
  <si>
    <t>REH Nº 3.049, DE 21 DE JUNHO DE 2022</t>
  </si>
  <si>
    <t>CPFL Paulista</t>
  </si>
  <si>
    <t>REH Nº 3.058, DE 12 DE JULHO DE 2022</t>
  </si>
  <si>
    <t>CPFL Piratininga</t>
  </si>
  <si>
    <t>REH Nº 3.128, DE 18 DE OUTUBRO DE 2022</t>
  </si>
  <si>
    <t>CPFL Santa Cruz (agrupada)</t>
  </si>
  <si>
    <t>REH Nº 3.059, DE 12 DE JULHO DE 2022</t>
  </si>
  <si>
    <t>Dcelt</t>
  </si>
  <si>
    <t>REH Nº 3.097, DE 23 DE AGOSTO DE 2022</t>
  </si>
  <si>
    <t>Demei</t>
  </si>
  <si>
    <t>REH Nº 3.069, DE 19 DE JULHO DE 2022</t>
  </si>
  <si>
    <t>DMED</t>
  </si>
  <si>
    <t>REH Nº 3.136, DE 16 DE NOVEMBRO DE 2022</t>
  </si>
  <si>
    <t>EDP ES</t>
  </si>
  <si>
    <t>REH Nº 3.091, DE 2 DE AGOSTO DE 2022</t>
  </si>
  <si>
    <t>EDP SP</t>
  </si>
  <si>
    <t>REH Nº 3.129, DE 18 DE OUTUBRO DE 2022</t>
  </si>
  <si>
    <t>EFLJC</t>
  </si>
  <si>
    <t>REH Nº 3.103, DE 23 DE AGOSTO DE 2022</t>
  </si>
  <si>
    <t>Eflul</t>
  </si>
  <si>
    <t>REH Nº 3.098, DE 23 DE AGOSTO DE 2022</t>
  </si>
  <si>
    <t>Eletrocar</t>
  </si>
  <si>
    <t>REH Nº 3.070, DE 19 DE JULHO DE 2022</t>
  </si>
  <si>
    <t>ELFSM</t>
  </si>
  <si>
    <t>REH Nº 3.105, DE 20 DE SETEMBRO DE 2022</t>
  </si>
  <si>
    <t>Enel CE</t>
  </si>
  <si>
    <t>REH Nº 3.061, DE 12 DE JULHO DE 2022</t>
  </si>
  <si>
    <t>Enel GO</t>
  </si>
  <si>
    <t>REH Nº 3.130, DE 18 DE OUTUBRO DE 2022</t>
  </si>
  <si>
    <t>Enel RJ</t>
  </si>
  <si>
    <t>REH Nº 3.064, DE 12 DE JULHO DE 2022</t>
  </si>
  <si>
    <t>Enel SP</t>
  </si>
  <si>
    <t>REH Nº 3.053, DE 28 DE JUNHO DE 2022</t>
  </si>
  <si>
    <t>Energisa AC</t>
  </si>
  <si>
    <t>REH Nº 3.151, DE 13 DE DEZEMBRO DE 2022</t>
  </si>
  <si>
    <t>Energisa Borborema</t>
  </si>
  <si>
    <t>REH Nº 3.060, DE 12 DE JULHO DE 2022</t>
  </si>
  <si>
    <t>Energisa MG</t>
  </si>
  <si>
    <t>REH Nº 3.047, DE 21 DE JUNHO DE 2022</t>
  </si>
  <si>
    <t>Energisa MS</t>
  </si>
  <si>
    <t>REH Nº 3.074, DE 26 DE JULHO DE 2022</t>
  </si>
  <si>
    <t>Energisa MT</t>
  </si>
  <si>
    <t>REH Nº 3.075, DE 26 DE JULHO DE 2022</t>
  </si>
  <si>
    <t>Energisa Nova Friburgo</t>
  </si>
  <si>
    <t>REH Nº 3.048, DE 21 DE JUNHO DE 2022</t>
  </si>
  <si>
    <t>Energisa PB</t>
  </si>
  <si>
    <t>REH Nº 3.101, DE 23 DE AGOSTO DE 2022</t>
  </si>
  <si>
    <t>Energisa RO</t>
  </si>
  <si>
    <t>REH Nº 3.157, DE 13 DE DEZEMBRO DE 2022</t>
  </si>
  <si>
    <t>Energisa SE</t>
  </si>
  <si>
    <t>REH Nº 3.063, DE 12 DE JULHO DE 2022</t>
  </si>
  <si>
    <t>Energisa Sul Sudeste</t>
  </si>
  <si>
    <t>REH Nº 3.012, DE 5 DE JULHO DE 2022</t>
  </si>
  <si>
    <t>Energisa TO</t>
  </si>
  <si>
    <t>REH Nº 3.054, DE 28 DE JUNHO DE 2022</t>
  </si>
  <si>
    <t>Equatorial AL</t>
  </si>
  <si>
    <t>REH Nº 3.033, DE 26 DE ABRIL DE 2022</t>
  </si>
  <si>
    <t>Equatorial MA</t>
  </si>
  <si>
    <t>REH Nº 3.102, DE 23 DE AGOSTO DE 2022</t>
  </si>
  <si>
    <t>Equatorial PA</t>
  </si>
  <si>
    <t>REH Nº 3.092, DE 2 DE AGOSTO DE 2022</t>
  </si>
  <si>
    <t>Equatorial PI</t>
  </si>
  <si>
    <t>REH Nº 3.146, DE 29 DE NOVEMBRO DE 2022</t>
  </si>
  <si>
    <t>Forcel</t>
  </si>
  <si>
    <t>REH Nº 3.096, DE 23 DE AGOSTO DE 2022</t>
  </si>
  <si>
    <t>Hidropan</t>
  </si>
  <si>
    <t>REH Nº 3.071, DE 19 DE JULHO DE 2022</t>
  </si>
  <si>
    <t>Light</t>
  </si>
  <si>
    <t>REH Nº 3.144, DE 13 DE DEZEMBRO DE 2022</t>
  </si>
  <si>
    <t>MuxEnergia</t>
  </si>
  <si>
    <t>REH Nº 3.072, DE 19 DE JULHO DE 2022</t>
  </si>
  <si>
    <t>Neoenergia Brasília</t>
  </si>
  <si>
    <t>REH Nº 3.134, DE 1 DE NOVEMBRO DE 2022</t>
  </si>
  <si>
    <t>Neoenergia Coelba</t>
  </si>
  <si>
    <t>REH Nº 3.056, DE 12 DE JULHO DE 2022</t>
  </si>
  <si>
    <t>Neoenergia Cosern</t>
  </si>
  <si>
    <t>REH Nº 3.057, DE 12 DE JULHO DE 2022</t>
  </si>
  <si>
    <t>Neoenergia Elektro</t>
  </si>
  <si>
    <t>REH Nº 3.100, DE 23 DE AGOSTO DE 2022</t>
  </si>
  <si>
    <t>Neoenergia Pernambuco</t>
  </si>
  <si>
    <t>REH Nº 3.055, DE 12 DE JULHO DE 2022</t>
  </si>
  <si>
    <t>Nova Palma</t>
  </si>
  <si>
    <t>REH Nº 3.073, DE 19 DE JULHO DE 2022</t>
  </si>
  <si>
    <t>RGE (agrupada)</t>
  </si>
  <si>
    <t>REH Nº 3.045, DE 21 DE JUNHO DE 2022</t>
  </si>
  <si>
    <t>Roraima Energia</t>
  </si>
  <si>
    <t>REH Nº 3.133, DE 1 DE NOVEMBRO DE 2022</t>
  </si>
  <si>
    <t>Sulgipe</t>
  </si>
  <si>
    <t>REH Nº 3.062, DE 12 DE JULHO DE 2022</t>
  </si>
  <si>
    <t>KWh</t>
  </si>
  <si>
    <t>Valorrr</t>
  </si>
  <si>
    <t>Fio_B</t>
  </si>
  <si>
    <t>Concessionária</t>
  </si>
  <si>
    <t>Celesc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</si>
</sst>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7">
  <autoFilter ref="A1:K107" xr:uid="{00000000-0009-0000-0100-000001000000}"/>
  <tableColumns count="11">
    <tableColumn id="1" xr3:uid="{00000000-0010-0000-0000-000001000000}" name="Concessionária"/>
    <tableColumn id="2" xr3:uid="{00000000-0010-0000-0000-000002000000}" name="REH"/>
    <tableColumn id="3" xr3:uid="{00000000-0010-0000-0000-000003000000}" name="Início Vigência"/>
    <tableColumn id="4" xr3:uid="{00000000-0010-0000-0000-000004000000}" name="Fim Vigência"/>
    <tableColumn id="5" xr3:uid="{00000000-0010-0000-0000-000005000000}" name="Base Tarifária"/>
    <tableColumn id="6" xr3:uid="{00000000-0010-0000-0000-000006000000}" name="Subgrupo"/>
    <tableColumn id="8" xr3:uid="{00000000-0010-0000-0000-000008000000}" name="Classe"/>
    <tableColumn id="13" xr3:uid="{00000000-0010-0000-0000-00000D000000}" name="Unidade"/>
    <tableColumn id="14" xr3:uid="{00000000-0010-0000-0000-00000E000000}" name="Fio_B"/>
    <tableColumn id="15" xr3:uid="{00000000-0010-0000-0000-00000F000000}" name="Valorrr"/>
    <tableColumn id="7" xr3:uid="{BBCCDE14-3F05-48FE-B6E2-A408044BB659}" name="Valor" dataDxfId="0">
      <calculatedColumnFormula>Table1[[#This Row],[Valorrr]]/1000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abSelected="1" topLeftCell="A91" workbookViewId="0">
      <selection activeCell="A10" sqref="A10"/>
    </sheetView>
  </sheetViews>
  <sheetFormatPr defaultColWidth="17.6640625" defaultRowHeight="14.4" x14ac:dyDescent="0.3"/>
  <cols>
    <col min="2" max="2" width="10.77734375" customWidth="1"/>
    <col min="3" max="3" width="13.109375" customWidth="1"/>
    <col min="4" max="4" width="14.109375" customWidth="1"/>
    <col min="6" max="6" width="11.6640625" customWidth="1"/>
    <col min="8" max="8" width="11" customWidth="1"/>
    <col min="9" max="9" width="14.5546875" customWidth="1"/>
    <col min="10" max="10" width="0" hidden="1" customWidth="1"/>
    <col min="11" max="11" width="12.44140625" customWidth="1"/>
  </cols>
  <sheetData>
    <row r="1" spans="1:11" x14ac:dyDescent="0.3">
      <c r="A1" t="s">
        <v>120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119</v>
      </c>
      <c r="J1" t="s">
        <v>118</v>
      </c>
      <c r="K1" t="s">
        <v>7</v>
      </c>
    </row>
    <row r="2" spans="1:11" x14ac:dyDescent="0.3">
      <c r="C2" s="1"/>
      <c r="D2" s="1"/>
    </row>
    <row r="3" spans="1:11" x14ac:dyDescent="0.3">
      <c r="A3" t="s">
        <v>8</v>
      </c>
      <c r="B3" t="s">
        <v>9</v>
      </c>
      <c r="C3" s="1">
        <v>44866</v>
      </c>
      <c r="D3" s="1">
        <v>45230</v>
      </c>
      <c r="E3" t="s">
        <v>10</v>
      </c>
      <c r="F3" t="s">
        <v>13</v>
      </c>
      <c r="G3" t="s">
        <v>11</v>
      </c>
      <c r="H3" t="s">
        <v>117</v>
      </c>
      <c r="I3" t="s">
        <v>12</v>
      </c>
      <c r="J3">
        <v>239.327455332364</v>
      </c>
      <c r="K3">
        <f>Table1[[#This Row],[Valorrr]]/1000</f>
        <v>0.23932745533236399</v>
      </c>
    </row>
    <row r="4" spans="1:11" x14ac:dyDescent="0.3">
      <c r="C4" s="1"/>
      <c r="D4" s="1"/>
    </row>
    <row r="5" spans="1:11" x14ac:dyDescent="0.3">
      <c r="A5" t="s">
        <v>14</v>
      </c>
      <c r="B5" t="s">
        <v>15</v>
      </c>
      <c r="C5" s="1">
        <v>44908</v>
      </c>
      <c r="D5" s="1">
        <v>45272</v>
      </c>
      <c r="E5" t="s">
        <v>10</v>
      </c>
      <c r="F5" t="s">
        <v>13</v>
      </c>
      <c r="G5" t="s">
        <v>11</v>
      </c>
      <c r="H5" t="s">
        <v>117</v>
      </c>
      <c r="I5" t="s">
        <v>12</v>
      </c>
      <c r="J5">
        <v>280.91423994716899</v>
      </c>
      <c r="K5">
        <f>Table1[[#This Row],[Valorrr]]/1000</f>
        <v>0.28091423994716902</v>
      </c>
    </row>
    <row r="6" spans="1:11" x14ac:dyDescent="0.3">
      <c r="C6" s="1"/>
      <c r="D6" s="1"/>
    </row>
    <row r="7" spans="1:11" x14ac:dyDescent="0.3">
      <c r="A7" t="s">
        <v>16</v>
      </c>
      <c r="B7" t="s">
        <v>17</v>
      </c>
      <c r="C7" s="1">
        <v>44887</v>
      </c>
      <c r="D7" s="1">
        <v>45251</v>
      </c>
      <c r="E7" t="s">
        <v>10</v>
      </c>
      <c r="F7" t="s">
        <v>13</v>
      </c>
      <c r="G7" t="s">
        <v>11</v>
      </c>
      <c r="H7" t="s">
        <v>117</v>
      </c>
      <c r="I7" t="s">
        <v>12</v>
      </c>
      <c r="J7">
        <v>148.800172335664</v>
      </c>
      <c r="K7">
        <f>Table1[[#This Row],[Valorrr]]/1000</f>
        <v>0.148800172335664</v>
      </c>
    </row>
    <row r="8" spans="1:11" x14ac:dyDescent="0.3">
      <c r="C8" s="1"/>
      <c r="D8" s="1"/>
    </row>
    <row r="9" spans="1:11" x14ac:dyDescent="0.3">
      <c r="A9" t="s">
        <v>121</v>
      </c>
      <c r="B9" t="s">
        <v>18</v>
      </c>
      <c r="C9" s="1">
        <v>44795</v>
      </c>
      <c r="D9" s="1">
        <v>45159</v>
      </c>
      <c r="E9" t="s">
        <v>10</v>
      </c>
      <c r="F9" t="s">
        <v>13</v>
      </c>
      <c r="G9" t="s">
        <v>11</v>
      </c>
      <c r="H9" t="s">
        <v>117</v>
      </c>
      <c r="I9" t="s">
        <v>12</v>
      </c>
      <c r="J9">
        <v>118.07685350204601</v>
      </c>
      <c r="K9">
        <f>Table1[[#This Row],[Valorrr]]/1000</f>
        <v>0.11807685350204601</v>
      </c>
    </row>
    <row r="10" spans="1:11" x14ac:dyDescent="0.3">
      <c r="C10" s="1"/>
      <c r="D10" s="1"/>
    </row>
    <row r="11" spans="1:11" x14ac:dyDescent="0.3">
      <c r="A11" t="s">
        <v>19</v>
      </c>
      <c r="B11" t="s">
        <v>20</v>
      </c>
      <c r="C11" s="1">
        <v>44734</v>
      </c>
      <c r="D11" s="1">
        <v>45073</v>
      </c>
      <c r="E11" t="s">
        <v>10</v>
      </c>
      <c r="F11" t="s">
        <v>13</v>
      </c>
      <c r="G11" t="s">
        <v>11</v>
      </c>
      <c r="H11" t="s">
        <v>117</v>
      </c>
      <c r="I11" t="s">
        <v>12</v>
      </c>
      <c r="J11">
        <v>232.75720232031799</v>
      </c>
      <c r="K11">
        <f>Table1[[#This Row],[Valorrr]]/1000</f>
        <v>0.23275720232031799</v>
      </c>
    </row>
    <row r="12" spans="1:11" x14ac:dyDescent="0.3">
      <c r="C12" s="1"/>
      <c r="D12" s="1"/>
    </row>
    <row r="13" spans="1:11" x14ac:dyDescent="0.3">
      <c r="A13" t="s">
        <v>21</v>
      </c>
      <c r="B13" t="s">
        <v>22</v>
      </c>
      <c r="C13" s="1">
        <v>44887</v>
      </c>
      <c r="D13" s="1">
        <v>45251</v>
      </c>
      <c r="E13" t="s">
        <v>10</v>
      </c>
      <c r="F13" t="s">
        <v>13</v>
      </c>
      <c r="G13" t="s">
        <v>11</v>
      </c>
      <c r="H13" t="s">
        <v>117</v>
      </c>
      <c r="I13" t="s">
        <v>12</v>
      </c>
      <c r="J13">
        <v>249.97889535353099</v>
      </c>
      <c r="K13">
        <f>Table1[[#This Row],[Valorrr]]/1000</f>
        <v>0.24997889535353099</v>
      </c>
    </row>
    <row r="14" spans="1:11" x14ac:dyDescent="0.3">
      <c r="C14" s="1"/>
      <c r="D14" s="1"/>
    </row>
    <row r="15" spans="1:11" x14ac:dyDescent="0.3">
      <c r="A15" t="s">
        <v>23</v>
      </c>
      <c r="B15" t="s">
        <v>24</v>
      </c>
      <c r="C15" s="1">
        <v>44741</v>
      </c>
      <c r="D15" s="1">
        <v>45105</v>
      </c>
      <c r="E15" t="s">
        <v>10</v>
      </c>
      <c r="F15" t="s">
        <v>13</v>
      </c>
      <c r="G15" t="s">
        <v>11</v>
      </c>
      <c r="H15" t="s">
        <v>117</v>
      </c>
      <c r="I15" t="s">
        <v>12</v>
      </c>
      <c r="J15">
        <v>134.412709270135</v>
      </c>
      <c r="K15">
        <f>Table1[[#This Row],[Valorrr]]/1000</f>
        <v>0.13441270927013499</v>
      </c>
    </row>
    <row r="16" spans="1:11" x14ac:dyDescent="0.3">
      <c r="C16" s="1"/>
      <c r="D16" s="1"/>
    </row>
    <row r="17" spans="1:11" x14ac:dyDescent="0.3">
      <c r="A17" t="s">
        <v>25</v>
      </c>
      <c r="B17" t="s">
        <v>26</v>
      </c>
      <c r="C17" s="1">
        <v>44802</v>
      </c>
      <c r="D17" s="1">
        <v>45166</v>
      </c>
      <c r="E17" t="s">
        <v>10</v>
      </c>
      <c r="F17" t="s">
        <v>13</v>
      </c>
      <c r="G17" t="s">
        <v>11</v>
      </c>
      <c r="H17" t="s">
        <v>117</v>
      </c>
      <c r="I17" t="s">
        <v>12</v>
      </c>
      <c r="J17">
        <v>164.350051059799</v>
      </c>
      <c r="K17">
        <f>Table1[[#This Row],[Valorrr]]/1000</f>
        <v>0.164350051059799</v>
      </c>
    </row>
    <row r="18" spans="1:11" x14ac:dyDescent="0.3">
      <c r="C18" s="1"/>
      <c r="D18" s="1"/>
    </row>
    <row r="19" spans="1:11" x14ac:dyDescent="0.3">
      <c r="A19" t="s">
        <v>27</v>
      </c>
      <c r="B19" t="s">
        <v>28</v>
      </c>
      <c r="C19" s="1">
        <v>44736</v>
      </c>
      <c r="D19" s="1">
        <v>45100</v>
      </c>
      <c r="E19" t="s">
        <v>10</v>
      </c>
      <c r="F19" t="s">
        <v>13</v>
      </c>
      <c r="G19" t="s">
        <v>11</v>
      </c>
      <c r="H19" t="s">
        <v>117</v>
      </c>
      <c r="I19" t="s">
        <v>12</v>
      </c>
      <c r="J19">
        <v>143.41424474484</v>
      </c>
      <c r="K19">
        <f>Table1[[#This Row],[Valorrr]]/1000</f>
        <v>0.14341424474483999</v>
      </c>
    </row>
    <row r="20" spans="1:11" x14ac:dyDescent="0.3">
      <c r="C20" s="1"/>
      <c r="D20" s="1"/>
    </row>
    <row r="21" spans="1:11" x14ac:dyDescent="0.3">
      <c r="A21" t="s">
        <v>29</v>
      </c>
      <c r="B21" t="s">
        <v>30</v>
      </c>
      <c r="C21" s="1">
        <v>44755</v>
      </c>
      <c r="D21" s="1">
        <v>45023</v>
      </c>
      <c r="E21" t="s">
        <v>10</v>
      </c>
      <c r="F21" t="s">
        <v>13</v>
      </c>
      <c r="G21" t="s">
        <v>11</v>
      </c>
      <c r="H21" t="s">
        <v>117</v>
      </c>
      <c r="I21" t="s">
        <v>12</v>
      </c>
      <c r="J21">
        <v>194.73992406906001</v>
      </c>
      <c r="K21">
        <f>Table1[[#This Row],[Valorrr]]/1000</f>
        <v>0.19473992406906002</v>
      </c>
    </row>
    <row r="22" spans="1:11" x14ac:dyDescent="0.3">
      <c r="C22" s="1"/>
      <c r="D22" s="1"/>
    </row>
    <row r="23" spans="1:11" x14ac:dyDescent="0.3">
      <c r="A23" t="s">
        <v>31</v>
      </c>
      <c r="B23" t="s">
        <v>32</v>
      </c>
      <c r="C23" s="1">
        <v>44857</v>
      </c>
      <c r="D23" s="1">
        <v>45221</v>
      </c>
      <c r="E23" t="s">
        <v>10</v>
      </c>
      <c r="F23" t="s">
        <v>13</v>
      </c>
      <c r="G23" t="s">
        <v>11</v>
      </c>
      <c r="H23" t="s">
        <v>117</v>
      </c>
      <c r="I23" t="s">
        <v>12</v>
      </c>
      <c r="J23">
        <v>174.21453350460499</v>
      </c>
      <c r="K23">
        <f>Table1[[#This Row],[Valorrr]]/1000</f>
        <v>0.17421453350460497</v>
      </c>
    </row>
    <row r="24" spans="1:11" x14ac:dyDescent="0.3">
      <c r="C24" s="1"/>
      <c r="D24" s="1"/>
    </row>
    <row r="25" spans="1:11" x14ac:dyDescent="0.3">
      <c r="A25" t="s">
        <v>33</v>
      </c>
      <c r="B25" t="s">
        <v>34</v>
      </c>
      <c r="C25" s="1">
        <v>44755</v>
      </c>
      <c r="D25" s="1">
        <v>45006</v>
      </c>
      <c r="E25" t="s">
        <v>10</v>
      </c>
      <c r="F25" t="s">
        <v>13</v>
      </c>
      <c r="G25" t="s">
        <v>11</v>
      </c>
      <c r="H25" t="s">
        <v>117</v>
      </c>
      <c r="I25" t="s">
        <v>12</v>
      </c>
      <c r="J25">
        <v>176.24815542613001</v>
      </c>
      <c r="K25">
        <f>Table1[[#This Row],[Valorrr]]/1000</f>
        <v>0.17624815542613001</v>
      </c>
    </row>
    <row r="26" spans="1:11" x14ac:dyDescent="0.3">
      <c r="C26" s="1"/>
      <c r="D26" s="1"/>
    </row>
    <row r="27" spans="1:11" x14ac:dyDescent="0.3">
      <c r="A27" t="s">
        <v>35</v>
      </c>
      <c r="B27" t="s">
        <v>36</v>
      </c>
      <c r="C27" s="1">
        <v>44802</v>
      </c>
      <c r="D27" s="1">
        <v>45166</v>
      </c>
      <c r="E27" t="s">
        <v>10</v>
      </c>
      <c r="F27" t="s">
        <v>13</v>
      </c>
      <c r="G27" t="s">
        <v>11</v>
      </c>
      <c r="H27" t="s">
        <v>117</v>
      </c>
      <c r="I27" t="s">
        <v>12</v>
      </c>
      <c r="J27">
        <v>124.64458416685299</v>
      </c>
      <c r="K27">
        <f>Table1[[#This Row],[Valorrr]]/1000</f>
        <v>0.12464458416685299</v>
      </c>
    </row>
    <row r="28" spans="1:11" x14ac:dyDescent="0.3">
      <c r="C28" s="1"/>
      <c r="D28" s="1"/>
    </row>
    <row r="29" spans="1:11" x14ac:dyDescent="0.3">
      <c r="A29" t="s">
        <v>37</v>
      </c>
      <c r="B29" t="s">
        <v>38</v>
      </c>
      <c r="C29" s="1">
        <v>44764</v>
      </c>
      <c r="D29" s="1">
        <v>45128</v>
      </c>
      <c r="E29" t="s">
        <v>10</v>
      </c>
      <c r="F29" t="s">
        <v>13</v>
      </c>
      <c r="G29" t="s">
        <v>11</v>
      </c>
      <c r="H29" t="s">
        <v>117</v>
      </c>
      <c r="I29" t="s">
        <v>12</v>
      </c>
      <c r="J29">
        <v>116.654470258846</v>
      </c>
      <c r="K29">
        <f>Table1[[#This Row],[Valorrr]]/1000</f>
        <v>0.11665447025884601</v>
      </c>
    </row>
    <row r="30" spans="1:11" x14ac:dyDescent="0.3">
      <c r="C30" s="1"/>
      <c r="D30" s="1"/>
    </row>
    <row r="31" spans="1:11" x14ac:dyDescent="0.3">
      <c r="A31" t="s">
        <v>39</v>
      </c>
      <c r="B31" t="s">
        <v>40</v>
      </c>
      <c r="C31" s="1">
        <v>44887</v>
      </c>
      <c r="D31" s="1">
        <v>45251</v>
      </c>
      <c r="E31" t="s">
        <v>10</v>
      </c>
      <c r="F31" t="s">
        <v>13</v>
      </c>
      <c r="G31" t="s">
        <v>11</v>
      </c>
      <c r="H31" t="s">
        <v>117</v>
      </c>
      <c r="I31" t="s">
        <v>12</v>
      </c>
      <c r="J31">
        <v>185.83277681087199</v>
      </c>
      <c r="K31">
        <f>Table1[[#This Row],[Valorrr]]/1000</f>
        <v>0.18583277681087199</v>
      </c>
    </row>
    <row r="32" spans="1:11" x14ac:dyDescent="0.3">
      <c r="C32" s="1"/>
      <c r="D32" s="1"/>
    </row>
    <row r="33" spans="1:11" x14ac:dyDescent="0.3">
      <c r="A33" t="s">
        <v>41</v>
      </c>
      <c r="B33" t="s">
        <v>42</v>
      </c>
      <c r="C33" s="1">
        <v>44780</v>
      </c>
      <c r="D33" s="1">
        <v>45144</v>
      </c>
      <c r="E33" t="s">
        <v>10</v>
      </c>
      <c r="F33" t="s">
        <v>13</v>
      </c>
      <c r="G33" t="s">
        <v>11</v>
      </c>
      <c r="H33" t="s">
        <v>117</v>
      </c>
      <c r="I33" t="s">
        <v>12</v>
      </c>
      <c r="J33">
        <v>192.04647591529201</v>
      </c>
      <c r="K33">
        <f>Table1[[#This Row],[Valorrr]]/1000</f>
        <v>0.192046475915292</v>
      </c>
    </row>
    <row r="34" spans="1:11" x14ac:dyDescent="0.3">
      <c r="C34" s="1"/>
      <c r="D34" s="1"/>
    </row>
    <row r="35" spans="1:11" x14ac:dyDescent="0.3">
      <c r="A35" t="s">
        <v>43</v>
      </c>
      <c r="B35" t="s">
        <v>44</v>
      </c>
      <c r="C35" s="1">
        <v>44857</v>
      </c>
      <c r="D35" s="1">
        <v>45221</v>
      </c>
      <c r="E35" t="s">
        <v>10</v>
      </c>
      <c r="F35" t="s">
        <v>13</v>
      </c>
      <c r="G35" t="s">
        <v>11</v>
      </c>
      <c r="H35" t="s">
        <v>117</v>
      </c>
      <c r="I35" t="s">
        <v>12</v>
      </c>
      <c r="J35">
        <v>204.597331100519</v>
      </c>
      <c r="K35">
        <f>Table1[[#This Row],[Valorrr]]/1000</f>
        <v>0.204597331100519</v>
      </c>
    </row>
    <row r="36" spans="1:11" x14ac:dyDescent="0.3">
      <c r="C36" s="1"/>
      <c r="D36" s="1"/>
    </row>
    <row r="37" spans="1:11" x14ac:dyDescent="0.3">
      <c r="A37" t="s">
        <v>45</v>
      </c>
      <c r="B37" t="s">
        <v>46</v>
      </c>
      <c r="C37" s="1">
        <v>44802</v>
      </c>
      <c r="D37" s="1">
        <v>45166</v>
      </c>
      <c r="E37" t="s">
        <v>10</v>
      </c>
      <c r="F37" t="s">
        <v>13</v>
      </c>
      <c r="G37" t="s">
        <v>11</v>
      </c>
      <c r="H37" t="s">
        <v>117</v>
      </c>
      <c r="I37" t="s">
        <v>12</v>
      </c>
      <c r="J37">
        <v>245.844521523955</v>
      </c>
      <c r="K37">
        <f>Table1[[#This Row],[Valorrr]]/1000</f>
        <v>0.245844521523955</v>
      </c>
    </row>
    <row r="38" spans="1:11" x14ac:dyDescent="0.3">
      <c r="C38" s="1"/>
      <c r="D38" s="1"/>
    </row>
    <row r="39" spans="1:11" x14ac:dyDescent="0.3">
      <c r="A39" t="s">
        <v>47</v>
      </c>
      <c r="B39" t="s">
        <v>48</v>
      </c>
      <c r="C39" s="1">
        <v>44802</v>
      </c>
      <c r="D39" s="1">
        <v>45166</v>
      </c>
      <c r="E39" t="s">
        <v>10</v>
      </c>
      <c r="F39" t="s">
        <v>13</v>
      </c>
      <c r="G39" t="s">
        <v>11</v>
      </c>
      <c r="H39" t="s">
        <v>117</v>
      </c>
      <c r="I39" t="s">
        <v>12</v>
      </c>
      <c r="J39">
        <v>200.26864245107899</v>
      </c>
      <c r="K39">
        <f>Table1[[#This Row],[Valorrr]]/1000</f>
        <v>0.20026864245107898</v>
      </c>
    </row>
    <row r="40" spans="1:11" x14ac:dyDescent="0.3">
      <c r="C40" s="1"/>
      <c r="D40" s="1"/>
    </row>
    <row r="41" spans="1:11" x14ac:dyDescent="0.3">
      <c r="A41" t="s">
        <v>49</v>
      </c>
      <c r="B41" t="s">
        <v>50</v>
      </c>
      <c r="C41" s="1">
        <v>44764</v>
      </c>
      <c r="D41" s="1">
        <v>45128</v>
      </c>
      <c r="E41" t="s">
        <v>10</v>
      </c>
      <c r="F41" t="s">
        <v>13</v>
      </c>
      <c r="G41" t="s">
        <v>11</v>
      </c>
      <c r="H41" t="s">
        <v>117</v>
      </c>
      <c r="I41" t="s">
        <v>12</v>
      </c>
      <c r="J41">
        <v>185.440165404054</v>
      </c>
      <c r="K41">
        <f>Table1[[#This Row],[Valorrr]]/1000</f>
        <v>0.185440165404054</v>
      </c>
    </row>
    <row r="42" spans="1:11" x14ac:dyDescent="0.3">
      <c r="C42" s="1"/>
      <c r="D42" s="1"/>
    </row>
    <row r="43" spans="1:11" x14ac:dyDescent="0.3">
      <c r="A43" t="s">
        <v>51</v>
      </c>
      <c r="B43" t="s">
        <v>52</v>
      </c>
      <c r="C43" s="1">
        <v>44826</v>
      </c>
      <c r="D43" s="1">
        <v>45190</v>
      </c>
      <c r="E43" t="s">
        <v>10</v>
      </c>
      <c r="F43" t="s">
        <v>13</v>
      </c>
      <c r="G43" t="s">
        <v>11</v>
      </c>
      <c r="H43" t="s">
        <v>117</v>
      </c>
      <c r="I43" t="s">
        <v>12</v>
      </c>
      <c r="J43">
        <v>181.956827009005</v>
      </c>
      <c r="K43">
        <f>Table1[[#This Row],[Valorrr]]/1000</f>
        <v>0.18195682700900501</v>
      </c>
    </row>
    <row r="44" spans="1:11" x14ac:dyDescent="0.3">
      <c r="C44" s="1"/>
      <c r="D44" s="1"/>
    </row>
    <row r="45" spans="1:11" x14ac:dyDescent="0.3">
      <c r="A45" t="s">
        <v>53</v>
      </c>
      <c r="B45" t="s">
        <v>54</v>
      </c>
      <c r="C45" s="1">
        <v>44755</v>
      </c>
      <c r="D45" s="1">
        <v>45037</v>
      </c>
      <c r="E45" t="s">
        <v>10</v>
      </c>
      <c r="F45" t="s">
        <v>13</v>
      </c>
      <c r="G45" t="s">
        <v>11</v>
      </c>
      <c r="H45" t="s">
        <v>117</v>
      </c>
      <c r="I45" t="s">
        <v>12</v>
      </c>
      <c r="J45">
        <v>283.14680613417403</v>
      </c>
      <c r="K45">
        <f>Table1[[#This Row],[Valorrr]]/1000</f>
        <v>0.28314680613417403</v>
      </c>
    </row>
    <row r="46" spans="1:11" x14ac:dyDescent="0.3">
      <c r="C46" s="1"/>
      <c r="D46" s="1"/>
    </row>
    <row r="47" spans="1:11" x14ac:dyDescent="0.3">
      <c r="A47" t="s">
        <v>55</v>
      </c>
      <c r="B47" t="s">
        <v>56</v>
      </c>
      <c r="C47" s="1">
        <v>44856</v>
      </c>
      <c r="D47" s="1">
        <v>45220</v>
      </c>
      <c r="E47" t="s">
        <v>10</v>
      </c>
      <c r="F47" t="s">
        <v>13</v>
      </c>
      <c r="G47" t="s">
        <v>11</v>
      </c>
      <c r="H47" t="s">
        <v>117</v>
      </c>
      <c r="I47" t="s">
        <v>12</v>
      </c>
      <c r="J47">
        <v>174.57202343814299</v>
      </c>
      <c r="K47">
        <f>Table1[[#This Row],[Valorrr]]/1000</f>
        <v>0.17457202343814299</v>
      </c>
    </row>
    <row r="48" spans="1:11" x14ac:dyDescent="0.3">
      <c r="C48" s="1"/>
      <c r="D48" s="1"/>
    </row>
    <row r="49" spans="1:11" x14ac:dyDescent="0.3">
      <c r="A49" t="s">
        <v>57</v>
      </c>
      <c r="B49" t="s">
        <v>58</v>
      </c>
      <c r="C49" s="1">
        <v>44755</v>
      </c>
      <c r="D49" s="1">
        <v>44999</v>
      </c>
      <c r="E49" t="s">
        <v>10</v>
      </c>
      <c r="F49" t="s">
        <v>13</v>
      </c>
      <c r="G49" t="s">
        <v>11</v>
      </c>
      <c r="H49" t="s">
        <v>117</v>
      </c>
      <c r="I49" t="s">
        <v>12</v>
      </c>
      <c r="J49">
        <v>248.164032158981</v>
      </c>
      <c r="K49">
        <f>Table1[[#This Row],[Valorrr]]/1000</f>
        <v>0.248164032158981</v>
      </c>
    </row>
    <row r="50" spans="1:11" x14ac:dyDescent="0.3">
      <c r="C50" s="1"/>
      <c r="D50" s="1"/>
    </row>
    <row r="51" spans="1:11" x14ac:dyDescent="0.3">
      <c r="A51" t="s">
        <v>59</v>
      </c>
      <c r="B51" t="s">
        <v>60</v>
      </c>
      <c r="C51" s="1">
        <v>44746</v>
      </c>
      <c r="D51" s="1">
        <v>45110</v>
      </c>
      <c r="E51" t="s">
        <v>10</v>
      </c>
      <c r="F51" t="s">
        <v>13</v>
      </c>
      <c r="G51" t="s">
        <v>11</v>
      </c>
      <c r="H51" t="s">
        <v>117</v>
      </c>
      <c r="I51" t="s">
        <v>12</v>
      </c>
      <c r="J51">
        <v>221.46938882532899</v>
      </c>
      <c r="K51">
        <f>Table1[[#This Row],[Valorrr]]/1000</f>
        <v>0.22146938882532899</v>
      </c>
    </row>
    <row r="52" spans="1:11" x14ac:dyDescent="0.3">
      <c r="C52" s="1"/>
      <c r="D52" s="1"/>
    </row>
    <row r="53" spans="1:11" x14ac:dyDescent="0.3">
      <c r="A53" t="s">
        <v>61</v>
      </c>
      <c r="B53" t="s">
        <v>62</v>
      </c>
      <c r="C53" s="1">
        <v>44908</v>
      </c>
      <c r="D53" s="1">
        <v>45272</v>
      </c>
      <c r="E53" t="s">
        <v>10</v>
      </c>
      <c r="F53" t="s">
        <v>13</v>
      </c>
      <c r="G53" t="s">
        <v>11</v>
      </c>
      <c r="H53" t="s">
        <v>117</v>
      </c>
      <c r="I53" t="s">
        <v>12</v>
      </c>
      <c r="J53">
        <v>341.16623935832303</v>
      </c>
      <c r="K53">
        <f>Table1[[#This Row],[Valorrr]]/1000</f>
        <v>0.34116623935832302</v>
      </c>
    </row>
    <row r="54" spans="1:11" x14ac:dyDescent="0.3">
      <c r="C54" s="1"/>
      <c r="D54" s="1"/>
    </row>
    <row r="55" spans="1:11" x14ac:dyDescent="0.3">
      <c r="A55" t="s">
        <v>63</v>
      </c>
      <c r="B55" t="s">
        <v>64</v>
      </c>
      <c r="C55" s="1">
        <v>44755</v>
      </c>
      <c r="D55" s="1">
        <v>44960</v>
      </c>
      <c r="E55" t="s">
        <v>10</v>
      </c>
      <c r="F55" t="s">
        <v>13</v>
      </c>
      <c r="G55" t="s">
        <v>11</v>
      </c>
      <c r="H55" t="s">
        <v>117</v>
      </c>
      <c r="I55" t="s">
        <v>12</v>
      </c>
      <c r="J55">
        <v>194.45409957023301</v>
      </c>
      <c r="K55">
        <f>Table1[[#This Row],[Valorrr]]/1000</f>
        <v>0.19445409957023302</v>
      </c>
    </row>
    <row r="56" spans="1:11" x14ac:dyDescent="0.3">
      <c r="C56" s="1"/>
      <c r="D56" s="1"/>
    </row>
    <row r="57" spans="1:11" x14ac:dyDescent="0.3">
      <c r="A57" t="s">
        <v>65</v>
      </c>
      <c r="B57" t="s">
        <v>66</v>
      </c>
      <c r="C57" s="1">
        <v>44734</v>
      </c>
      <c r="D57" s="1">
        <v>45098</v>
      </c>
      <c r="E57" t="s">
        <v>10</v>
      </c>
      <c r="F57" t="s">
        <v>13</v>
      </c>
      <c r="G57" t="s">
        <v>11</v>
      </c>
      <c r="H57" t="s">
        <v>117</v>
      </c>
      <c r="I57" t="s">
        <v>12</v>
      </c>
      <c r="J57">
        <v>197.03140300737201</v>
      </c>
      <c r="K57">
        <f>Table1[[#This Row],[Valorrr]]/1000</f>
        <v>0.19703140300737201</v>
      </c>
    </row>
    <row r="58" spans="1:11" x14ac:dyDescent="0.3">
      <c r="C58" s="1"/>
      <c r="D58" s="1"/>
    </row>
    <row r="59" spans="1:11" x14ac:dyDescent="0.3">
      <c r="A59" t="s">
        <v>67</v>
      </c>
      <c r="B59" t="s">
        <v>68</v>
      </c>
      <c r="C59" s="1">
        <v>44769</v>
      </c>
      <c r="D59" s="1">
        <v>45023</v>
      </c>
      <c r="E59" t="s">
        <v>10</v>
      </c>
      <c r="F59" t="s">
        <v>13</v>
      </c>
      <c r="G59" t="s">
        <v>11</v>
      </c>
      <c r="H59" t="s">
        <v>117</v>
      </c>
      <c r="I59" t="s">
        <v>12</v>
      </c>
      <c r="J59">
        <v>329.18028229533002</v>
      </c>
      <c r="K59">
        <f>Table1[[#This Row],[Valorrr]]/1000</f>
        <v>0.32918028229533003</v>
      </c>
    </row>
    <row r="60" spans="1:11" x14ac:dyDescent="0.3">
      <c r="C60" s="1"/>
      <c r="D60" s="1"/>
    </row>
    <row r="61" spans="1:11" x14ac:dyDescent="0.3">
      <c r="A61" t="s">
        <v>69</v>
      </c>
      <c r="B61" t="s">
        <v>70</v>
      </c>
      <c r="C61" s="1">
        <v>44769</v>
      </c>
      <c r="D61" s="1">
        <v>45023</v>
      </c>
      <c r="E61" t="s">
        <v>10</v>
      </c>
      <c r="F61" t="s">
        <v>13</v>
      </c>
      <c r="G61" t="s">
        <v>11</v>
      </c>
      <c r="H61" t="s">
        <v>117</v>
      </c>
      <c r="I61" t="s">
        <v>12</v>
      </c>
      <c r="J61">
        <v>356.11793604138899</v>
      </c>
      <c r="K61">
        <f>Table1[[#This Row],[Valorrr]]/1000</f>
        <v>0.35611793604138897</v>
      </c>
    </row>
    <row r="62" spans="1:11" x14ac:dyDescent="0.3">
      <c r="C62" s="1"/>
      <c r="D62" s="1"/>
    </row>
    <row r="63" spans="1:11" x14ac:dyDescent="0.3">
      <c r="A63" t="s">
        <v>71</v>
      </c>
      <c r="B63" t="s">
        <v>72</v>
      </c>
      <c r="C63" s="1">
        <v>44734</v>
      </c>
      <c r="D63" s="1">
        <v>45098</v>
      </c>
      <c r="E63" t="s">
        <v>10</v>
      </c>
      <c r="F63" t="s">
        <v>13</v>
      </c>
      <c r="G63" t="s">
        <v>11</v>
      </c>
      <c r="H63" t="s">
        <v>117</v>
      </c>
      <c r="I63" t="s">
        <v>12</v>
      </c>
      <c r="J63">
        <v>197.46580202015301</v>
      </c>
      <c r="K63">
        <f>Table1[[#This Row],[Valorrr]]/1000</f>
        <v>0.19746580202015301</v>
      </c>
    </row>
    <row r="64" spans="1:11" x14ac:dyDescent="0.3">
      <c r="C64" s="1"/>
      <c r="D64" s="1"/>
    </row>
    <row r="65" spans="1:11" x14ac:dyDescent="0.3">
      <c r="A65" t="s">
        <v>73</v>
      </c>
      <c r="B65" t="s">
        <v>74</v>
      </c>
      <c r="C65" s="1">
        <v>44801</v>
      </c>
      <c r="D65" s="1">
        <v>45165</v>
      </c>
      <c r="E65" t="s">
        <v>10</v>
      </c>
      <c r="F65" t="s">
        <v>13</v>
      </c>
      <c r="G65" t="s">
        <v>11</v>
      </c>
      <c r="H65" t="s">
        <v>117</v>
      </c>
      <c r="I65" t="s">
        <v>12</v>
      </c>
      <c r="J65">
        <v>227.245764182306</v>
      </c>
      <c r="K65">
        <f>Table1[[#This Row],[Valorrr]]/1000</f>
        <v>0.22724576418230599</v>
      </c>
    </row>
    <row r="66" spans="1:11" x14ac:dyDescent="0.3">
      <c r="C66" s="1"/>
      <c r="D66" s="1"/>
    </row>
    <row r="67" spans="1:11" x14ac:dyDescent="0.3">
      <c r="A67" t="s">
        <v>75</v>
      </c>
      <c r="B67" t="s">
        <v>76</v>
      </c>
      <c r="C67" s="1">
        <v>44908</v>
      </c>
      <c r="D67" s="1">
        <v>45272</v>
      </c>
      <c r="E67" t="s">
        <v>10</v>
      </c>
      <c r="F67" t="s">
        <v>13</v>
      </c>
      <c r="G67" t="s">
        <v>11</v>
      </c>
      <c r="H67" t="s">
        <v>117</v>
      </c>
      <c r="I67" t="s">
        <v>12</v>
      </c>
      <c r="J67">
        <v>252.77940242678699</v>
      </c>
      <c r="K67">
        <f>Table1[[#This Row],[Valorrr]]/1000</f>
        <v>0.25277940242678698</v>
      </c>
    </row>
    <row r="68" spans="1:11" x14ac:dyDescent="0.3">
      <c r="C68" s="1"/>
      <c r="D68" s="1"/>
    </row>
    <row r="69" spans="1:11" x14ac:dyDescent="0.3">
      <c r="A69" t="s">
        <v>77</v>
      </c>
      <c r="B69" t="s">
        <v>78</v>
      </c>
      <c r="C69" s="1">
        <v>44755</v>
      </c>
      <c r="D69" s="1">
        <v>45037</v>
      </c>
      <c r="E69" t="s">
        <v>10</v>
      </c>
      <c r="F69" t="s">
        <v>13</v>
      </c>
      <c r="G69" t="s">
        <v>11</v>
      </c>
      <c r="H69" t="s">
        <v>117</v>
      </c>
      <c r="I69" t="s">
        <v>12</v>
      </c>
      <c r="J69">
        <v>309.98988560060099</v>
      </c>
      <c r="K69">
        <f>Table1[[#This Row],[Valorrr]]/1000</f>
        <v>0.30998988560060098</v>
      </c>
    </row>
    <row r="70" spans="1:11" x14ac:dyDescent="0.3">
      <c r="C70" s="1"/>
      <c r="D70" s="1"/>
    </row>
    <row r="71" spans="1:11" x14ac:dyDescent="0.3">
      <c r="A71" t="s">
        <v>79</v>
      </c>
      <c r="B71" t="s">
        <v>80</v>
      </c>
      <c r="C71" s="1">
        <v>44754</v>
      </c>
      <c r="D71" s="1">
        <v>45118</v>
      </c>
      <c r="E71" t="s">
        <v>10</v>
      </c>
      <c r="F71" t="s">
        <v>13</v>
      </c>
      <c r="G71" t="s">
        <v>11</v>
      </c>
      <c r="H71" t="s">
        <v>117</v>
      </c>
      <c r="I71" t="s">
        <v>12</v>
      </c>
      <c r="J71">
        <v>140.789694392146</v>
      </c>
      <c r="K71">
        <f>Table1[[#This Row],[Valorrr]]/1000</f>
        <v>0.140789694392146</v>
      </c>
    </row>
    <row r="72" spans="1:11" x14ac:dyDescent="0.3">
      <c r="C72" s="1"/>
      <c r="D72" s="1"/>
    </row>
    <row r="73" spans="1:11" x14ac:dyDescent="0.3">
      <c r="A73" t="s">
        <v>81</v>
      </c>
      <c r="B73" t="s">
        <v>82</v>
      </c>
      <c r="C73" s="1">
        <v>44746</v>
      </c>
      <c r="D73" s="1">
        <v>45110</v>
      </c>
      <c r="E73" t="s">
        <v>10</v>
      </c>
      <c r="F73" t="s">
        <v>13</v>
      </c>
      <c r="G73" t="s">
        <v>11</v>
      </c>
      <c r="H73" t="s">
        <v>117</v>
      </c>
      <c r="I73" t="s">
        <v>12</v>
      </c>
      <c r="J73">
        <v>361.44390073925001</v>
      </c>
      <c r="K73">
        <f>Table1[[#This Row],[Valorrr]]/1000</f>
        <v>0.36144390073925003</v>
      </c>
    </row>
    <row r="74" spans="1:11" x14ac:dyDescent="0.3">
      <c r="C74" s="1"/>
      <c r="D74" s="1"/>
    </row>
    <row r="75" spans="1:11" x14ac:dyDescent="0.3">
      <c r="A75" t="s">
        <v>83</v>
      </c>
      <c r="B75" t="s">
        <v>84</v>
      </c>
      <c r="C75" s="1">
        <v>44684</v>
      </c>
      <c r="D75" s="1">
        <v>45048</v>
      </c>
      <c r="E75" t="s">
        <v>10</v>
      </c>
      <c r="F75" t="s">
        <v>13</v>
      </c>
      <c r="G75" t="s">
        <v>11</v>
      </c>
      <c r="H75" t="s">
        <v>117</v>
      </c>
      <c r="I75" t="s">
        <v>12</v>
      </c>
      <c r="J75">
        <v>258.27356877652602</v>
      </c>
      <c r="K75">
        <f>Table1[[#This Row],[Valorrr]]/1000</f>
        <v>0.25827356877652602</v>
      </c>
    </row>
    <row r="76" spans="1:11" x14ac:dyDescent="0.3">
      <c r="C76" s="1"/>
      <c r="D76" s="1"/>
    </row>
    <row r="77" spans="1:11" x14ac:dyDescent="0.3">
      <c r="A77" t="s">
        <v>85</v>
      </c>
      <c r="B77" t="s">
        <v>86</v>
      </c>
      <c r="C77" s="1">
        <v>44801</v>
      </c>
      <c r="D77" s="1">
        <v>45165</v>
      </c>
      <c r="E77" t="s">
        <v>10</v>
      </c>
      <c r="F77" t="s">
        <v>13</v>
      </c>
      <c r="G77" t="s">
        <v>11</v>
      </c>
      <c r="H77" t="s">
        <v>117</v>
      </c>
      <c r="I77" t="s">
        <v>12</v>
      </c>
      <c r="J77">
        <v>286.77994058831098</v>
      </c>
      <c r="K77">
        <f>Table1[[#This Row],[Valorrr]]/1000</f>
        <v>0.28677994058831097</v>
      </c>
    </row>
    <row r="78" spans="1:11" x14ac:dyDescent="0.3">
      <c r="C78" s="1"/>
      <c r="D78" s="1"/>
    </row>
    <row r="79" spans="1:11" x14ac:dyDescent="0.3">
      <c r="A79" t="s">
        <v>87</v>
      </c>
      <c r="B79" t="s">
        <v>88</v>
      </c>
      <c r="C79" s="1">
        <v>44780</v>
      </c>
      <c r="D79" s="1">
        <v>45144</v>
      </c>
      <c r="E79" t="s">
        <v>10</v>
      </c>
      <c r="F79" t="s">
        <v>13</v>
      </c>
      <c r="G79" t="s">
        <v>11</v>
      </c>
      <c r="H79" t="s">
        <v>117</v>
      </c>
      <c r="I79" t="s">
        <v>12</v>
      </c>
      <c r="J79">
        <v>425.63383723215298</v>
      </c>
      <c r="K79">
        <f>Table1[[#This Row],[Valorrr]]/1000</f>
        <v>0.42563383723215298</v>
      </c>
    </row>
    <row r="80" spans="1:11" x14ac:dyDescent="0.3">
      <c r="C80" s="1"/>
      <c r="D80" s="1"/>
    </row>
    <row r="81" spans="1:11" x14ac:dyDescent="0.3">
      <c r="A81" t="s">
        <v>89</v>
      </c>
      <c r="B81" t="s">
        <v>90</v>
      </c>
      <c r="C81" s="1">
        <v>44897</v>
      </c>
      <c r="D81" s="1">
        <v>45261</v>
      </c>
      <c r="E81" t="s">
        <v>10</v>
      </c>
      <c r="F81" t="s">
        <v>13</v>
      </c>
      <c r="G81" t="s">
        <v>11</v>
      </c>
      <c r="H81" t="s">
        <v>117</v>
      </c>
      <c r="I81" t="s">
        <v>12</v>
      </c>
      <c r="J81">
        <v>281.91950297259302</v>
      </c>
      <c r="K81">
        <f>Table1[[#This Row],[Valorrr]]/1000</f>
        <v>0.28191950297259305</v>
      </c>
    </row>
    <row r="82" spans="1:11" x14ac:dyDescent="0.3">
      <c r="C82" s="1"/>
      <c r="D82" s="1"/>
    </row>
    <row r="83" spans="1:11" x14ac:dyDescent="0.3">
      <c r="A83" t="s">
        <v>91</v>
      </c>
      <c r="B83" t="s">
        <v>92</v>
      </c>
      <c r="C83" s="1">
        <v>44799</v>
      </c>
      <c r="D83" s="1">
        <v>45163</v>
      </c>
      <c r="E83" t="s">
        <v>10</v>
      </c>
      <c r="F83" t="s">
        <v>13</v>
      </c>
      <c r="G83" t="s">
        <v>11</v>
      </c>
      <c r="H83" t="s">
        <v>117</v>
      </c>
      <c r="I83" t="s">
        <v>12</v>
      </c>
      <c r="J83">
        <v>194.83147166907801</v>
      </c>
      <c r="K83">
        <f>Table1[[#This Row],[Valorrr]]/1000</f>
        <v>0.19483147166907802</v>
      </c>
    </row>
    <row r="84" spans="1:11" x14ac:dyDescent="0.3">
      <c r="C84" s="1"/>
      <c r="D84" s="1"/>
    </row>
    <row r="85" spans="1:11" x14ac:dyDescent="0.3">
      <c r="A85" t="s">
        <v>93</v>
      </c>
      <c r="B85" t="s">
        <v>94</v>
      </c>
      <c r="C85" s="1">
        <v>44764</v>
      </c>
      <c r="D85" s="1">
        <v>45128</v>
      </c>
      <c r="E85" t="s">
        <v>10</v>
      </c>
      <c r="F85" t="s">
        <v>13</v>
      </c>
      <c r="G85" t="s">
        <v>11</v>
      </c>
      <c r="H85" t="s">
        <v>117</v>
      </c>
      <c r="I85" t="s">
        <v>12</v>
      </c>
      <c r="J85">
        <v>169.01548363691001</v>
      </c>
      <c r="K85">
        <f>Table1[[#This Row],[Valorrr]]/1000</f>
        <v>0.16901548363691002</v>
      </c>
    </row>
    <row r="86" spans="1:11" x14ac:dyDescent="0.3">
      <c r="C86" s="1"/>
      <c r="D86" s="1"/>
    </row>
    <row r="87" spans="1:11" x14ac:dyDescent="0.3">
      <c r="A87" t="s">
        <v>95</v>
      </c>
      <c r="B87" t="s">
        <v>96</v>
      </c>
      <c r="C87" s="1">
        <v>44910</v>
      </c>
      <c r="D87" s="1">
        <v>44999</v>
      </c>
      <c r="E87" t="s">
        <v>10</v>
      </c>
      <c r="F87" t="s">
        <v>13</v>
      </c>
      <c r="G87" t="s">
        <v>11</v>
      </c>
      <c r="H87" t="s">
        <v>117</v>
      </c>
      <c r="I87" t="s">
        <v>12</v>
      </c>
      <c r="J87">
        <v>166.58992338579699</v>
      </c>
      <c r="K87">
        <f>Table1[[#This Row],[Valorrr]]/1000</f>
        <v>0.16658992338579701</v>
      </c>
    </row>
    <row r="88" spans="1:11" ht="13.8" customHeight="1" x14ac:dyDescent="0.3">
      <c r="C88" s="1"/>
      <c r="D88" s="1"/>
    </row>
    <row r="89" spans="1:11" x14ac:dyDescent="0.3">
      <c r="A89" t="s">
        <v>97</v>
      </c>
      <c r="B89" t="s">
        <v>98</v>
      </c>
      <c r="C89" s="1">
        <v>44764</v>
      </c>
      <c r="D89" s="1">
        <v>45128</v>
      </c>
      <c r="E89" t="s">
        <v>10</v>
      </c>
      <c r="F89" t="s">
        <v>13</v>
      </c>
      <c r="G89" t="s">
        <v>11</v>
      </c>
      <c r="H89" t="s">
        <v>117</v>
      </c>
      <c r="I89" t="s">
        <v>12</v>
      </c>
      <c r="J89">
        <v>135.88233847305</v>
      </c>
      <c r="K89">
        <f>Table1[[#This Row],[Valorrr]]/1000</f>
        <v>0.13588233847305001</v>
      </c>
    </row>
    <row r="90" spans="1:11" x14ac:dyDescent="0.3">
      <c r="C90" s="1"/>
      <c r="D90" s="1"/>
    </row>
    <row r="91" spans="1:11" x14ac:dyDescent="0.3">
      <c r="A91" t="s">
        <v>99</v>
      </c>
      <c r="B91" t="s">
        <v>100</v>
      </c>
      <c r="C91" s="1">
        <v>44868</v>
      </c>
      <c r="D91" s="1">
        <v>45220</v>
      </c>
      <c r="E91" t="s">
        <v>10</v>
      </c>
      <c r="F91" t="s">
        <v>13</v>
      </c>
      <c r="G91" t="s">
        <v>11</v>
      </c>
      <c r="H91" t="s">
        <v>117</v>
      </c>
      <c r="I91" t="s">
        <v>12</v>
      </c>
      <c r="J91">
        <v>111.483868029127</v>
      </c>
      <c r="K91">
        <f>Table1[[#This Row],[Valorrr]]/1000</f>
        <v>0.11148386802912699</v>
      </c>
    </row>
    <row r="92" spans="1:11" x14ac:dyDescent="0.3">
      <c r="C92" s="1"/>
      <c r="D92" s="1"/>
    </row>
    <row r="93" spans="1:11" x14ac:dyDescent="0.3">
      <c r="A93" t="s">
        <v>101</v>
      </c>
      <c r="B93" t="s">
        <v>102</v>
      </c>
      <c r="C93" s="1">
        <v>44755</v>
      </c>
      <c r="D93" s="1">
        <v>45037</v>
      </c>
      <c r="E93" t="s">
        <v>10</v>
      </c>
      <c r="F93" t="s">
        <v>13</v>
      </c>
      <c r="G93" t="s">
        <v>11</v>
      </c>
      <c r="H93" t="s">
        <v>117</v>
      </c>
      <c r="I93" t="s">
        <v>12</v>
      </c>
      <c r="J93">
        <v>329.38363676253499</v>
      </c>
      <c r="K93">
        <f>Table1[[#This Row],[Valorrr]]/1000</f>
        <v>0.32938363676253501</v>
      </c>
    </row>
    <row r="94" spans="1:11" x14ac:dyDescent="0.3">
      <c r="C94" s="1"/>
      <c r="D94" s="1"/>
    </row>
    <row r="95" spans="1:11" x14ac:dyDescent="0.3">
      <c r="A95" t="s">
        <v>103</v>
      </c>
      <c r="B95" t="s">
        <v>104</v>
      </c>
      <c r="C95" s="1">
        <v>44755</v>
      </c>
      <c r="D95" s="1">
        <v>45037</v>
      </c>
      <c r="E95" t="s">
        <v>10</v>
      </c>
      <c r="F95" t="s">
        <v>13</v>
      </c>
      <c r="G95" t="s">
        <v>11</v>
      </c>
      <c r="H95" t="s">
        <v>117</v>
      </c>
      <c r="I95" t="s">
        <v>12</v>
      </c>
      <c r="J95">
        <v>254.13663874112299</v>
      </c>
      <c r="K95">
        <f>Table1[[#This Row],[Valorrr]]/1000</f>
        <v>0.25413663874112297</v>
      </c>
    </row>
    <row r="96" spans="1:11" x14ac:dyDescent="0.3">
      <c r="C96" s="1"/>
      <c r="D96" s="1"/>
    </row>
    <row r="97" spans="1:11" x14ac:dyDescent="0.3">
      <c r="A97" t="s">
        <v>105</v>
      </c>
      <c r="B97" t="s">
        <v>106</v>
      </c>
      <c r="C97" s="1">
        <v>44800</v>
      </c>
      <c r="D97" s="1">
        <v>45164</v>
      </c>
      <c r="E97" t="s">
        <v>10</v>
      </c>
      <c r="F97" t="s">
        <v>13</v>
      </c>
      <c r="G97" t="s">
        <v>11</v>
      </c>
      <c r="H97" t="s">
        <v>117</v>
      </c>
      <c r="I97" t="s">
        <v>12</v>
      </c>
      <c r="J97">
        <v>195.62088147950499</v>
      </c>
      <c r="K97">
        <f>Table1[[#This Row],[Valorrr]]/1000</f>
        <v>0.19562088147950499</v>
      </c>
    </row>
    <row r="98" spans="1:11" x14ac:dyDescent="0.3">
      <c r="C98" s="1"/>
      <c r="D98" s="1"/>
    </row>
    <row r="99" spans="1:11" x14ac:dyDescent="0.3">
      <c r="A99" t="s">
        <v>107</v>
      </c>
      <c r="B99" t="s">
        <v>108</v>
      </c>
      <c r="C99" s="1">
        <v>44755</v>
      </c>
      <c r="D99" s="1">
        <v>45044</v>
      </c>
      <c r="E99" t="s">
        <v>10</v>
      </c>
      <c r="F99" t="s">
        <v>13</v>
      </c>
      <c r="G99" t="s">
        <v>11</v>
      </c>
      <c r="H99" t="s">
        <v>117</v>
      </c>
      <c r="I99" t="s">
        <v>12</v>
      </c>
      <c r="J99">
        <v>227.90351193945</v>
      </c>
      <c r="K99">
        <f>Table1[[#This Row],[Valorrr]]/1000</f>
        <v>0.22790351193944999</v>
      </c>
    </row>
    <row r="100" spans="1:11" x14ac:dyDescent="0.3">
      <c r="C100" s="1"/>
      <c r="D100" s="1"/>
    </row>
    <row r="101" spans="1:11" x14ac:dyDescent="0.3">
      <c r="A101" t="s">
        <v>109</v>
      </c>
      <c r="B101" t="s">
        <v>110</v>
      </c>
      <c r="C101" s="1">
        <v>44764</v>
      </c>
      <c r="D101" s="1">
        <v>45128</v>
      </c>
      <c r="E101" t="s">
        <v>10</v>
      </c>
      <c r="F101" t="s">
        <v>13</v>
      </c>
      <c r="G101" t="s">
        <v>11</v>
      </c>
      <c r="H101" t="s">
        <v>117</v>
      </c>
      <c r="I101" t="s">
        <v>12</v>
      </c>
      <c r="J101">
        <v>232.35663620615099</v>
      </c>
      <c r="K101">
        <f>Table1[[#This Row],[Valorrr]]/1000</f>
        <v>0.23235663620615099</v>
      </c>
    </row>
    <row r="102" spans="1:11" x14ac:dyDescent="0.3">
      <c r="C102" s="1"/>
      <c r="D102" s="1"/>
    </row>
    <row r="103" spans="1:11" x14ac:dyDescent="0.3">
      <c r="A103" t="s">
        <v>111</v>
      </c>
      <c r="B103" t="s">
        <v>112</v>
      </c>
      <c r="C103" s="1">
        <v>44734</v>
      </c>
      <c r="D103" s="1">
        <v>45098</v>
      </c>
      <c r="E103" t="s">
        <v>10</v>
      </c>
      <c r="F103" t="s">
        <v>13</v>
      </c>
      <c r="G103" t="s">
        <v>11</v>
      </c>
      <c r="H103" t="s">
        <v>117</v>
      </c>
      <c r="I103" t="s">
        <v>12</v>
      </c>
      <c r="J103">
        <v>250.816495699336</v>
      </c>
      <c r="K103">
        <f>Table1[[#This Row],[Valorrr]]/1000</f>
        <v>0.25081649569933601</v>
      </c>
    </row>
    <row r="104" spans="1:11" x14ac:dyDescent="0.3">
      <c r="C104" s="1"/>
      <c r="D104" s="1"/>
    </row>
    <row r="105" spans="1:11" x14ac:dyDescent="0.3">
      <c r="A105" t="s">
        <v>113</v>
      </c>
      <c r="B105" t="s">
        <v>114</v>
      </c>
      <c r="C105" s="1">
        <v>44866</v>
      </c>
      <c r="D105" s="1">
        <v>45230</v>
      </c>
      <c r="E105" t="s">
        <v>10</v>
      </c>
      <c r="F105" t="s">
        <v>13</v>
      </c>
      <c r="G105" t="s">
        <v>11</v>
      </c>
      <c r="H105" t="s">
        <v>117</v>
      </c>
      <c r="I105" t="s">
        <v>12</v>
      </c>
      <c r="J105">
        <v>247.73714957332299</v>
      </c>
      <c r="K105">
        <f>Table1[[#This Row],[Valorrr]]/1000</f>
        <v>0.24773714957332299</v>
      </c>
    </row>
    <row r="106" spans="1:11" x14ac:dyDescent="0.3">
      <c r="C106" s="1"/>
      <c r="D106" s="1"/>
    </row>
    <row r="107" spans="1:11" x14ac:dyDescent="0.3">
      <c r="A107" t="s">
        <v>115</v>
      </c>
      <c r="B107" t="s">
        <v>116</v>
      </c>
      <c r="C107" s="1">
        <v>44755</v>
      </c>
      <c r="D107" s="1">
        <v>45067</v>
      </c>
      <c r="E107" t="s">
        <v>10</v>
      </c>
      <c r="F107" t="s">
        <v>13</v>
      </c>
      <c r="G107" t="s">
        <v>11</v>
      </c>
      <c r="H107" t="s">
        <v>117</v>
      </c>
      <c r="I107" t="s">
        <v>12</v>
      </c>
      <c r="J107">
        <v>271.06973295114699</v>
      </c>
      <c r="K107">
        <f>Table1[[#This Row],[Valorrr]]/1000</f>
        <v>0.271069732951147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Antônio Wagner</cp:lastModifiedBy>
  <dcterms:created xsi:type="dcterms:W3CDTF">2016-07-06T08:22:49Z</dcterms:created>
  <dcterms:modified xsi:type="dcterms:W3CDTF">2023-08-31T20:17:36Z</dcterms:modified>
</cp:coreProperties>
</file>